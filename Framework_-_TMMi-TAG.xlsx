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Mi - Visão Institucional" sheetId="1" r:id="rId4"/>
    <sheet state="visible" name="TMMi - Visão Squads" sheetId="2" r:id="rId5"/>
    <sheet state="hidden" name="Todos Trimestres TMMi - Visão S" sheetId="3" r:id="rId6"/>
    <sheet state="hidden" name="Roadmap Trimestral" sheetId="4" r:id="rId7"/>
    <sheet state="hidden" name="Roadmap por Squad" sheetId="5" r:id="rId8"/>
    <sheet state="hidden" name="OLD_Roadmap por Squads" sheetId="6" r:id="rId9"/>
    <sheet state="visible" name="Score TMMi" sheetId="7" r:id="rId10"/>
    <sheet state="visible" name="ANUAL - Roadmap por Squads" sheetId="8" r:id="rId11"/>
    <sheet state="visible" name="Mapa do TMMi" sheetId="9" r:id="rId12"/>
    <sheet state="visible" name="Entregue x Esperado TMMi" sheetId="10" r:id="rId13"/>
    <sheet state="hidden" name="Critérios TMMi" sheetId="11" r:id="rId14"/>
  </sheets>
  <definedNames>
    <definedName hidden="1" localSheetId="7" name="Z_B4FAA844_04BA_4DAF_A04E_CDFCEC544F69_.wvu.FilterData">'ANUAL - Roadmap por Squads'!$A$1:$J$25</definedName>
  </definedNames>
  <calcPr/>
  <customWorkbookViews>
    <customWorkbookView activeSheetId="0" maximized="1" windowHeight="0" windowWidth="0" guid="{B4FAA844-04BA-4DAF-A04E-CDFCEC544F69}" name="Agrupar por Trimestre"/>
  </customWorkbookViews>
  <extLst>
    <ext uri="GoogleSheetsCustomDataVersion2">
      <go:sheetsCustomData xmlns:go="http://customooxmlschemas.google.com/" r:id="rId15" roundtripDataChecksum="0L/b3u3DmX/t5hpfIbUXz05p06ESz4dn5CT4jqgw7P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ID#AAABynskbMk
Regiane Dias Barbosa    (2026-01-15 17:38:53)
Indicadores complementares</t>
      </text>
    </comment>
    <comment authorId="0" ref="E27">
      <text>
        <t xml:space="preserve">======
ID#AAABynskbMU
Regiane Dias Barbosa    (2026-01-15 17:27:59)
(Relatório anual orientado por dados)</t>
      </text>
    </comment>
    <comment authorId="0" ref="E26">
      <text>
        <t xml:space="preserve">======
ID#AAABynskbMQ
Regiane Dias Barbosa    (2026-01-15 17:27:41)
(início) (RCA leve + checklist rotina)</t>
      </text>
    </comment>
    <comment authorId="0" ref="E25">
      <text>
        <t xml:space="preserve">======
ID#AAABynskbMM
Regiane Dias Barbosa    (2026-01-15 17:27:21)
N2 – Política/Estratégia N2 – Ambiente
N3 – Organização (Versão completa + governança madura)</t>
      </text>
    </comment>
    <comment authorId="0" ref="E24">
      <text>
        <t xml:space="preserve">======
ID#AAABynskbMI
Regiane Dias Barbosa    (2026-01-15 17:27:04)
(NFR) (Thresholds + go/no-go)</t>
      </text>
    </comment>
    <comment authorId="0" ref="E23">
      <text>
        <t xml:space="preserve">======
ID#AAABynskbME
Regiane Dias Barbosa    (2026-01-15 17:26:53)
(Refinar P1/P2/P3 por dados)</t>
      </text>
    </comment>
    <comment authorId="0" ref="E21">
      <text>
        <t xml:space="preserve">======
ID#AAABynskbMA
Regiane Dias Barbosa    (2026-01-15 17:26:23)
(Onboarding + Playwright + QR + NFR Lite)</t>
      </text>
    </comment>
    <comment authorId="0" ref="E20">
      <text>
        <t xml:space="preserve">======
ID#AAABynskbL8
Regiane Dias Barbosa    (2026-01-15 17:26:05)
(Expandir NFR com cadência)</t>
      </text>
    </comment>
    <comment authorId="0" ref="E19">
      <text>
        <t xml:space="preserve">======
ID#AAABynskbL4
Regiane Dias Barbosa    (2026-01-15 17:25:52)
(Estabilizar automação)</t>
      </text>
    </comment>
    <comment authorId="0" ref="E18">
      <text>
        <t xml:space="preserve">======
ID#AAABynskbL0
Regiane Dias Barbosa    (2026-01-15 17:25:39)
(Formalizar regressão por squad)</t>
      </text>
    </comment>
    <comment authorId="0" ref="E17">
      <text>
        <t xml:space="preserve">======
ID#AAABynskbLs
Regiane Dias Barbosa    (2026-01-15 17:23:40)
(Piloto NFR – Cartões)</t>
      </text>
    </comment>
    <comment authorId="0" ref="E16">
      <text>
        <t xml:space="preserve">======
ID#AAABynskbLk
Regiane Dias Barbosa    (2026-01-15 17:22:41)
(Estratégia NFR Lite por produto/jornada)</t>
      </text>
    </comment>
    <comment authorId="0" ref="E15">
      <text>
        <t xml:space="preserve">======
ID#AAABynskbLg
Regiane Dias Barbosa    (2026-01-15 17:22:24)
N3 (Endpoints críticos – avanço faseado)</t>
      </text>
    </comment>
    <comment authorId="0" ref="E14">
      <text>
        <t xml:space="preserve">======
ID#AAABynskbLc
Regiane Dias Barbosa    (2026-01-15 17:21:55)
(Quality Review) (Qualidade do PBI ≥ 3)
Quality Strategy</t>
      </text>
    </comment>
    <comment authorId="0" ref="E12">
      <text>
        <t xml:space="preserve">======
ID#AAABynskbLY
Regiane Dias Barbosa    (2026-01-15 17:21:14)
(Automatizar mínimo viável P1 – por squad)</t>
      </text>
    </comment>
    <comment authorId="0" ref="E13">
      <text>
        <t xml:space="preserve">======
ID#AAABynskbLU
Regiane Dias Barbosa    (2026-01-15 17:20:58)
Monitoramento e controle (Evidência report/log via Playwright))</t>
      </text>
    </comment>
    <comment authorId="0" ref="E11">
      <text>
        <t xml:space="preserve">======
ID#AAABynskbLM
Regiane Dias Barbosa    (2026-01-15 17:20:27)
(Robot → Playwright 20% – Cartões)</t>
      </text>
    </comment>
    <comment authorId="0" ref="E10">
      <text>
        <t xml:space="preserve">======
ID#AAABynskbLE
Regiane Dias Barbosa    (2026-01-15 17:20:02)
N2 - Foco em (Pipeline regressão P1)</t>
      </text>
    </comment>
    <comment authorId="0" ref="E9">
      <text>
        <t xml:space="preserve">======
ID#AAABynskbLA
Regiane Dias Barbosa    (2026-01-15 17:18:45)
(Revisar P1/P2/P3 existente)</t>
      </text>
    </comment>
    <comment authorId="0" ref="E8">
      <text>
        <t xml:space="preserve">======
ID#AAABynskbK8
Regiane Dias Barbosa    (2026-01-15 17:15:59)
Levantar P1/ P2 e P3 para mensurar o escopo de testes de regressão</t>
      </text>
    </comment>
    <comment authorId="0" ref="E5">
      <text>
        <t xml:space="preserve">======
ID#AAABynskbK4
Regiane Dias Barbosa    (2026-01-15 17:15:04)
(Governança STG)</t>
      </text>
    </comment>
  </commentList>
  <extLst>
    <ext uri="GoogleSheetsCustomDataVersion2">
      <go:sheetsCustomData xmlns:go="http://customooxmlschemas.google.com/" r:id="rId1" roundtripDataSignature="AMtx7mhYifBhea1FuJhV07FPOcOjakWUp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ID#AAAByqyMLWs
Regiane Dias Barbosa    (2026-01-19 18:31:38)
Verificar como estão as evidências que servirão de insumos para as GMUDs</t>
      </text>
    </comment>
    <comment authorId="0" ref="D13">
      <text>
        <t xml:space="preserve">======
ID#AAAByqyMLWo
Regiane Dias Barbosa    (2026-01-19 18:27:15)
Testes de Progressivos</t>
      </text>
    </comment>
  </commentList>
  <extLst>
    <ext uri="GoogleSheetsCustomDataVersion2">
      <go:sheetsCustomData xmlns:go="http://customooxmlschemas.google.com/" r:id="rId1" roundtripDataSignature="AMtx7mhzM4GxuZvVbAsv5jTCLuJgGz1CWg=="/>
    </ext>
  </extLst>
</comments>
</file>

<file path=xl/sharedStrings.xml><?xml version="1.0" encoding="utf-8"?>
<sst xmlns="http://schemas.openxmlformats.org/spreadsheetml/2006/main" count="2213" uniqueCount="593">
  <si>
    <t>Visão do TMMi a nível organizacional</t>
  </si>
  <si>
    <t>Nível TMMi</t>
  </si>
  <si>
    <t>Área de Processo</t>
  </si>
  <si>
    <t>Status 
Institucional</t>
  </si>
  <si>
    <t>Observação</t>
  </si>
  <si>
    <t>Nível 2</t>
  </si>
  <si>
    <t>Política e Estratégia de Testes</t>
  </si>
  <si>
    <t>Desenvolvendo</t>
  </si>
  <si>
    <t>Em construção; aplicada na prática, não formalizada</t>
  </si>
  <si>
    <t>Planejamento de Testes</t>
  </si>
  <si>
    <t>Adotado</t>
  </si>
  <si>
    <t>Modelo definido e replicável</t>
  </si>
  <si>
    <t>Monitoramento e Controle dos Testes</t>
  </si>
  <si>
    <t>Métricas e acompanhamento existentes</t>
  </si>
  <si>
    <t>Desenho e Execução de Testes</t>
  </si>
  <si>
    <t>Padrões e evidências definidos</t>
  </si>
  <si>
    <t>Gerenciamento de Defeitos</t>
  </si>
  <si>
    <t>Fluxo institucionalizado</t>
  </si>
  <si>
    <t>Ambiente de Testes</t>
  </si>
  <si>
    <t>Já existe o ambiente de STG</t>
  </si>
  <si>
    <t>Nível 3</t>
  </si>
  <si>
    <t>Organização de Testes</t>
  </si>
  <si>
    <t>Em Adoção</t>
  </si>
  <si>
    <t>Chapter estruturado</t>
  </si>
  <si>
    <t>Programa de Treinamento em Testes</t>
  </si>
  <si>
    <t>Conteúdos e práticas existentes</t>
  </si>
  <si>
    <t>Integração dos Testes ao SDLC</t>
  </si>
  <si>
    <t>Quality Review e upstream parcial</t>
  </si>
  <si>
    <t>Testes Não Funcionais</t>
  </si>
  <si>
    <t>Iniciativas pontuais</t>
  </si>
  <si>
    <t>Revisões Técnicas (Quality Review)</t>
  </si>
  <si>
    <t>Prática definida e replicável</t>
  </si>
  <si>
    <t>Nível 4</t>
  </si>
  <si>
    <t>Medição dos Testes</t>
  </si>
  <si>
    <t>As medições virão por consequencia, após melhorias acima</t>
  </si>
  <si>
    <t>Avaliação da Qualidade do Produto</t>
  </si>
  <si>
    <t>Revisões Avançadas</t>
  </si>
  <si>
    <t>Não Iniciado</t>
  </si>
  <si>
    <t>Nível 5</t>
  </si>
  <si>
    <t>Prevenção de Defeitos</t>
  </si>
  <si>
    <t>Controle da Qualidade</t>
  </si>
  <si>
    <t>Otimização do Processo de Testes</t>
  </si>
  <si>
    <t>Visão 2026 - Atualizada</t>
  </si>
  <si>
    <t>ID MELHORIA</t>
  </si>
  <si>
    <t>Trimestre</t>
  </si>
  <si>
    <t>Fase</t>
  </si>
  <si>
    <t>Nível e Área de Processo</t>
  </si>
  <si>
    <t>Envolvidos</t>
  </si>
  <si>
    <t xml:space="preserve">Squads Cartões </t>
  </si>
  <si>
    <t>Squads Duplicatas</t>
  </si>
  <si>
    <t>Ativos</t>
  </si>
  <si>
    <t>Demonstrações</t>
  </si>
  <si>
    <t>Operações</t>
  </si>
  <si>
    <t>Plataforma</t>
  </si>
  <si>
    <t>Interop</t>
  </si>
  <si>
    <t>Negotiation</t>
  </si>
  <si>
    <t>Consent</t>
  </si>
  <si>
    <t>T1-N2-N3-01</t>
  </si>
  <si>
    <t>TRI 1</t>
  </si>
  <si>
    <t>Engenharia de Qualidade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</si>
  <si>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</si>
  <si>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t>Cloud / Engenharia / 
QA / Tech Leads</t>
  </si>
  <si>
    <t>T1-N2-02</t>
  </si>
  <si>
    <t>N2 – Política de Testes</t>
  </si>
  <si>
    <t>QA / Gestão</t>
  </si>
  <si>
    <t>T1-N2-N4-03</t>
  </si>
  <si>
    <r>
      <rPr>
        <rFont val="Arial"/>
        <b/>
        <color rgb="FFFF9900"/>
        <sz val="11.0"/>
      </rPr>
      <t xml:space="preserve">N4 – Medição dos Testes
</t>
    </r>
    <r>
      <rPr>
        <rFont val="Arial"/>
        <b/>
        <color rgb="FF274E13"/>
        <sz val="11.0"/>
      </rPr>
      <t>N2 – Monitoramento e Controle</t>
    </r>
  </si>
  <si>
    <t>T1-N2-04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</si>
  <si>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</si>
  <si>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t>QA / Produto / 
Squad</t>
  </si>
  <si>
    <t>T1-N2-05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</si>
  <si>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</si>
  <si>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t>T1-N2-N3-06</t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</si>
  <si>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</si>
  <si>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t>QA / Cloud / 
DevOps</t>
  </si>
  <si>
    <t>T1-N2-07</t>
  </si>
  <si>
    <t>N2 – Desenho e Execução de Testes</t>
  </si>
  <si>
    <t>QA / QEs / 
Dev (apoio)</t>
  </si>
  <si>
    <t>T1-N2-08</t>
  </si>
  <si>
    <t>T1-N2-09</t>
  </si>
  <si>
    <t xml:space="preserve">N2 – Desenho e Execução
N2 – Monitoramento e Controle </t>
  </si>
  <si>
    <t>QA</t>
  </si>
  <si>
    <t>T1-N3-10</t>
  </si>
  <si>
    <t>N3 – Revisões Técnicas</t>
  </si>
  <si>
    <t>QA / Produto /
Squad</t>
  </si>
  <si>
    <t>T1-N2-N3-11</t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</si>
  <si>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</si>
  <si>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T1-N3-12</t>
  </si>
  <si>
    <t xml:space="preserve">N3 – Testes Não Funcionais </t>
  </si>
  <si>
    <t>QA (NFR) / Cloud / 
Produto / Tech Leads</t>
  </si>
  <si>
    <t>T1-N3-13</t>
  </si>
  <si>
    <t xml:space="preserve">N3 – Testes Não Funcionais (piloto)
N3 – Integração ao SDLC </t>
  </si>
  <si>
    <t>QA (NFR) / Cloud / 
DevOps</t>
  </si>
  <si>
    <t>T2-N2-N3-01</t>
  </si>
  <si>
    <t>TRI 2</t>
  </si>
  <si>
    <r>
      <rPr>
        <rFont val="Arial"/>
        <b/>
        <color rgb="FF0C343D"/>
        <sz val="11.0"/>
      </rPr>
      <t xml:space="preserve">N3 – Organização de Teste
</t>
    </r>
    <r>
      <rPr>
        <rFont val="Arial"/>
        <b/>
        <color rgb="FF274E13"/>
        <sz val="11.0"/>
      </rPr>
      <t>N2 – Planejamento</t>
    </r>
  </si>
  <si>
    <t>QA / Produto</t>
  </si>
  <si>
    <t>NÃO INICIADO</t>
  </si>
  <si>
    <t>T2-N2-N3-02</t>
  </si>
  <si>
    <r>
      <rPr>
        <rFont val="Arial"/>
        <b/>
        <color rgb="FF0C343D"/>
        <sz val="11.0"/>
      </rPr>
      <t xml:space="preserve">N3 – Integração ao SDLC
</t>
    </r>
    <r>
      <rPr>
        <rFont val="Arial"/>
        <b/>
        <color rgb="FF274E13"/>
        <sz val="11.0"/>
      </rPr>
      <t>N2 – Ambiente de Testes</t>
    </r>
  </si>
  <si>
    <t>T2-N3-03</t>
  </si>
  <si>
    <t>QA (NFR) / Produto / 
Tech Leads</t>
  </si>
  <si>
    <t>T2-N3-04</t>
  </si>
  <si>
    <t>N3 – Programa de Treinamento em Testes</t>
  </si>
  <si>
    <t>QA / 
Gestão</t>
  </si>
  <si>
    <t>T3-N4-01</t>
  </si>
  <si>
    <t>TRI 3</t>
  </si>
  <si>
    <t>N4 – Avaliação da Qualidade do Produto (início)
N4 – Medição (Incidentes × falhas)</t>
  </si>
  <si>
    <t>T3-N3-N4-02</t>
  </si>
  <si>
    <r>
      <rPr>
        <rFont val="Arial"/>
        <b/>
        <color rgb="FFFF9900"/>
        <sz val="11.0"/>
      </rPr>
      <t xml:space="preserve">N4 – Medição
</t>
    </r>
    <r>
      <rPr>
        <rFont val="Arial"/>
        <b/>
        <color rgb="FF0C343D"/>
        <sz val="11.0"/>
      </rPr>
      <t>N3 – Organização</t>
    </r>
  </si>
  <si>
    <t>T3-N4-03</t>
  </si>
  <si>
    <t>N4 – Medição dos Testes</t>
  </si>
  <si>
    <t>QA (NFR) / Gestão / 
Tech Leads</t>
  </si>
  <si>
    <t>T4-N2-N3-01</t>
  </si>
  <si>
    <t>TRI 4</t>
  </si>
  <si>
    <r>
      <rPr>
        <rFont val="Arial"/>
        <b/>
        <color rgb="FF274E13"/>
        <sz val="11.0"/>
      </rPr>
      <t xml:space="preserve">N2 – Política/Estratégia
</t>
    </r>
    <r>
      <rPr>
        <rFont val="Arial"/>
        <b/>
        <color rgb="FF0C343D"/>
        <sz val="11.0"/>
      </rPr>
      <t>N3 – Organização</t>
    </r>
  </si>
  <si>
    <t>QA / Cloud / 
Engenharia</t>
  </si>
  <si>
    <t>T4-N5-02</t>
  </si>
  <si>
    <t>N5 – Prevenção de Defeitos</t>
  </si>
  <si>
    <t>QA / Squad / 
Gestão</t>
  </si>
  <si>
    <t>T4-N4-03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</si>
  <si>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</si>
  <si>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t>Planejado</t>
  </si>
  <si>
    <r>
      <rPr>
        <rFont val="Arial"/>
        <b/>
        <color rgb="FFFF9900"/>
        <sz val="11.0"/>
      </rPr>
      <t xml:space="preserve">N4 – Medição dos Testes
</t>
    </r>
    <r>
      <rPr>
        <rFont val="Arial"/>
        <b/>
        <color rgb="FF274E13"/>
        <sz val="11.0"/>
      </rPr>
      <t>N2 – Monitoramento e Controle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</si>
  <si>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</si>
  <si>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</si>
  <si>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</si>
  <si>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</si>
  <si>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r>
      <rPr>
        <rFont val="Arial"/>
        <b/>
        <color rgb="FF0C343D"/>
        <sz val="11.0"/>
      </rPr>
      <t xml:space="preserve">N3 – Organização de Teste
</t>
    </r>
    <r>
      <rPr>
        <rFont val="Arial"/>
        <b/>
        <color rgb="FF274E13"/>
        <sz val="11.0"/>
      </rPr>
      <t>N2 – Planejamento</t>
    </r>
  </si>
  <si>
    <r>
      <rPr>
        <rFont val="Arial"/>
        <b/>
        <color rgb="FF0C343D"/>
        <sz val="11.0"/>
      </rPr>
      <t xml:space="preserve">N3 – Integração ao SDLC
</t>
    </r>
    <r>
      <rPr>
        <rFont val="Arial"/>
        <b/>
        <color rgb="FF274E13"/>
        <sz val="11.0"/>
      </rPr>
      <t>N2 – Ambiente de Testes</t>
    </r>
  </si>
  <si>
    <r>
      <rPr>
        <rFont val="Arial"/>
        <b/>
        <color rgb="FFFF9900"/>
        <sz val="11.0"/>
      </rPr>
      <t xml:space="preserve">N4 – Medição
</t>
    </r>
    <r>
      <rPr>
        <rFont val="Arial"/>
        <b/>
        <color rgb="FF0C343D"/>
        <sz val="11.0"/>
      </rPr>
      <t>N3 – Organização</t>
    </r>
  </si>
  <si>
    <r>
      <rPr>
        <rFont val="Arial"/>
        <b/>
        <color rgb="FF274E13"/>
        <sz val="11.0"/>
      </rPr>
      <t xml:space="preserve">N2 – Política/Estratégia
</t>
    </r>
    <r>
      <rPr>
        <rFont val="Arial"/>
        <b/>
        <color rgb="FF0C343D"/>
        <sz val="11.0"/>
      </rPr>
      <t>N3 – Organização</t>
    </r>
  </si>
  <si>
    <t>Visão 2025</t>
  </si>
  <si>
    <t>Squad Cartões</t>
  </si>
  <si>
    <t>Squad Duplicatas</t>
  </si>
  <si>
    <t>Trabalho de Base</t>
  </si>
  <si>
    <t>Institucional</t>
  </si>
  <si>
    <t>N2 – Estratégia de Testes</t>
  </si>
  <si>
    <t>QA / Squads</t>
  </si>
  <si>
    <t>N2 – Planejamento de Testes</t>
  </si>
  <si>
    <t>N2 – Monitoramento e Controle dos Testes</t>
  </si>
  <si>
    <t>QA / Tech Lead</t>
  </si>
  <si>
    <t>N2 – Gerenciamento de Defeitos</t>
  </si>
  <si>
    <t>QA / Squad</t>
  </si>
  <si>
    <t>N2 – Ambiente de Testes</t>
  </si>
  <si>
    <t>QA / Cloud</t>
  </si>
  <si>
    <t>Não Aplicável</t>
  </si>
  <si>
    <t>N3 – Organização de Testes</t>
  </si>
  <si>
    <t>N3 – Integração dos Testes ao SDLC</t>
  </si>
  <si>
    <t>QA / Produto / Dev</t>
  </si>
  <si>
    <t>N3 – Testes Não Funcionais</t>
  </si>
  <si>
    <t>QA / Cloud / SI/ Arquitetura</t>
  </si>
  <si>
    <t>N3 – Revisões Técnicas (Quality Review)</t>
  </si>
  <si>
    <t>N4 - Medição dos Testes</t>
  </si>
  <si>
    <t>QA / Gestão / Tríade</t>
  </si>
  <si>
    <t>N4 - Avaliação da Qualidade do Produto</t>
  </si>
  <si>
    <t>QA / Produto / Gestão</t>
  </si>
  <si>
    <t>N4 - Revisões Avançadas</t>
  </si>
  <si>
    <t>QA  / Arquitetura / Gestão</t>
  </si>
  <si>
    <t>N5 - Prevenção de Defeitos</t>
  </si>
  <si>
    <t>QA / Squads/ Arquitetura</t>
  </si>
  <si>
    <t>N5 - Controle da Qualidade</t>
  </si>
  <si>
    <t>QA / Produto / Gestão / Arquitetura</t>
  </si>
  <si>
    <t>N5 - Otimização do Processo de Testes</t>
  </si>
  <si>
    <t>QA / Gestão / Squads</t>
  </si>
  <si>
    <t>Entrega</t>
  </si>
  <si>
    <t>TMMi (Nível – Área)</t>
  </si>
  <si>
    <t>Evidência / Critério de pronto</t>
  </si>
  <si>
    <t>Status</t>
  </si>
  <si>
    <t>Responsável</t>
  </si>
  <si>
    <t>TRI 1
(Jan-Mar)</t>
  </si>
  <si>
    <t>Engenharia e Governança</t>
  </si>
  <si>
    <t>Governança de uso do STG (regras, permissões, janelas e proteção de dados/massa)</t>
  </si>
  <si>
    <t>Engenharia/Cloud/QA/Tech Leads</t>
  </si>
  <si>
    <t>Política de uso do STG + controle de acessos + janelas de execução + procedimento de restauração de massa + trilha de auditoria (quem rodou o quê)</t>
  </si>
  <si>
    <t>Engenharia/Cloud + QA Chapter</t>
  </si>
  <si>
    <t>Iniciar Mapeamento TODAS as jornadas de testes (Robot → Playwright)</t>
  </si>
  <si>
    <t>Lista de jornadas por squad + matriz “jornada → cenários → testes → automação” + priorização por criticidade</t>
  </si>
  <si>
    <t>QA Chapter + QAs por squad</t>
  </si>
  <si>
    <t>Levantar os testes prioritários por squad (baseado em jornada + risco)</t>
  </si>
  <si>
    <r>
      <rPr>
        <rFont val="Arial"/>
        <b/>
        <color rgb="FF274E13"/>
      </rPr>
      <t>N2 – Planejamento de Testes</t>
    </r>
    <r>
      <rPr>
        <rFont val="Arial"/>
        <b/>
        <color theme="1"/>
      </rPr>
      <t xml:space="preserve"> + 
</t>
    </r>
    <r>
      <rPr>
        <rFont val="Arial"/>
        <b/>
        <color rgb="FF0C343D"/>
      </rPr>
      <t>N3 – Organização de Testes</t>
    </r>
  </si>
  <si>
    <t>QA / Produto / Squad</t>
  </si>
  <si>
    <t>Escopo de testes prioritários por squad (P1/P2/P3 ou crítico/alto/médio) + link no Azure Test Plans</t>
  </si>
  <si>
    <t>QA + Produto</t>
  </si>
  <si>
    <t>Automatizar os testes prioritários no Playwright (mínimo viável por jornada)</t>
  </si>
  <si>
    <r>
      <rPr>
        <rFont val="Arial"/>
        <b/>
        <color rgb="FF274E13"/>
      </rPr>
      <t xml:space="preserve">N2 – Desenho e Execução de Testes </t>
    </r>
    <r>
      <rPr>
        <rFont val="Arial"/>
        <b/>
        <color theme="1"/>
      </rPr>
      <t xml:space="preserve">+ 
</t>
    </r>
    <r>
      <rPr>
        <rFont val="Arial"/>
        <b/>
        <color rgb="FF0C343D"/>
      </rPr>
      <t>N3 – Integração dos Testes ao SDLC</t>
    </r>
  </si>
  <si>
    <t>QA / Dev (apoio)</t>
  </si>
  <si>
    <t>Suites Playwright criadas por jornada + evidência de execução + padrão de código aplicado</t>
  </si>
  <si>
    <t>QA + QEs</t>
  </si>
  <si>
    <t>QA + Cloud</t>
  </si>
  <si>
    <t>Integrar os testes automatizados à pipeline de QA (execução na nuvem)</t>
  </si>
  <si>
    <r>
      <rPr>
        <rFont val="Arial"/>
        <b/>
        <color rgb="FF0C343D"/>
      </rPr>
      <t xml:space="preserve">N3 – Integração dos Testes ao SDLC </t>
    </r>
    <r>
      <rPr>
        <rFont val="Arial"/>
        <b/>
        <color theme="1"/>
      </rPr>
      <t>/</t>
    </r>
    <r>
      <rPr>
        <rFont val="Arial"/>
        <b/>
        <color rgb="FF274E13"/>
      </rPr>
      <t xml:space="preserve"> N2 – Ambiente de Testes</t>
    </r>
  </si>
  <si>
    <t>QA / Cloud / DevOps</t>
  </si>
  <si>
    <t>Pipeline rodando Playwright + artefatos (report/log) + gatilho por PR/merge/agenda (conforme definido)</t>
  </si>
  <si>
    <t>Cloud/DevOps + QA</t>
  </si>
  <si>
    <t>Melhoria Contínua</t>
  </si>
  <si>
    <t>Consolidar indicadores de adoção das melhorias (visão executiva)</t>
  </si>
  <si>
    <t>Dashboard com indicadores definidos (ex.: adoção QR, cobertura de jornadas, execução/pipeline, defeitos críticos)</t>
  </si>
  <si>
    <t>QA Chapter</t>
  </si>
  <si>
    <t>Implementar Engenharia de Qualidade com Testes Estáticos (em piloto)</t>
  </si>
  <si>
    <t>QA / Dev / Tech Lead</t>
  </si>
  <si>
    <t>Checklist + evidência de aplicação em refinamento/PRs (mínimo) + registro do que foi prevenido</t>
  </si>
  <si>
    <t>Despriorizado</t>
  </si>
  <si>
    <t>Trombeta + QA Chapter</t>
  </si>
  <si>
    <t/>
  </si>
  <si>
    <t>Squad</t>
  </si>
  <si>
    <t>Todas</t>
  </si>
  <si>
    <t>Governança de uso do STG (regras, janelas, massa)</t>
  </si>
  <si>
    <t>Engenharia / Cloud / QA</t>
  </si>
  <si>
    <t>Política STG + controle de acesso + trilha de auditoria</t>
  </si>
  <si>
    <t>Cloud + QA Chapter</t>
  </si>
  <si>
    <t>Mapear 2 jornadas críticas</t>
  </si>
  <si>
    <t>Jornadas documentadas + riscos</t>
  </si>
  <si>
    <t>QA Squad</t>
  </si>
  <si>
    <t>Mapear 1 jornada crítica</t>
  </si>
  <si>
    <t>Jornada documentada + riscos</t>
  </si>
  <si>
    <t>Levantar jornada crítica + riscos</t>
  </si>
  <si>
    <t>Escopo mínimo de testes críticos</t>
  </si>
  <si>
    <t>Mapear 1 jornada crítica interop</t>
  </si>
  <si>
    <t>Jornada interop documentada</t>
  </si>
  <si>
    <t>Jornada documentada</t>
  </si>
  <si>
    <t>Ativos / Plataforma</t>
  </si>
  <si>
    <t>Automatizar 1 jornada crítica (mínimo viável)</t>
  </si>
  <si>
    <t>N2 Execução / N3 Integração SDLC</t>
  </si>
  <si>
    <t>QA / QEs</t>
  </si>
  <si>
    <t>Suite Playwright + evidência</t>
  </si>
  <si>
    <t>Levantar testes prioritários por risco</t>
  </si>
  <si>
    <t>Escopo P1/P2/P3 no Azure</t>
  </si>
  <si>
    <t>Consolidar indicadores</t>
  </si>
  <si>
    <t>Dashboard simples (adoção / defeitos críticos)</t>
  </si>
  <si>
    <t>TMMi</t>
  </si>
  <si>
    <t>Evidência</t>
  </si>
  <si>
    <t>Cartões (cross)</t>
  </si>
  <si>
    <t>Consolidar jornadas por produto</t>
  </si>
  <si>
    <t>Mapa consolidado</t>
  </si>
  <si>
    <t>Expandir automação (+1 jornada)</t>
  </si>
  <si>
    <t>N3 – Integração SDLC</t>
  </si>
  <si>
    <t>Novas suites + pipeline</t>
  </si>
  <si>
    <t>Demonstrações / Negotiation</t>
  </si>
  <si>
    <t>Automatizar 1 jornada crítica</t>
  </si>
  <si>
    <t>Suite + evidência</t>
  </si>
  <si>
    <t>Formalizar regressão por squad</t>
  </si>
  <si>
    <t>Escopo de regressão</t>
  </si>
  <si>
    <t>Ajustar Quality Review</t>
  </si>
  <si>
    <t>QA / Dev</t>
  </si>
  <si>
    <t>Artefato revisado + uso</t>
  </si>
  <si>
    <t>Mapear incidentes por amostragem</t>
  </si>
  <si>
    <t>N3 – Monitoramento</t>
  </si>
  <si>
    <t>Relatório por squad</t>
  </si>
  <si>
    <t>Relacionar incidentes × falhas de teste</t>
  </si>
  <si>
    <t>N4 – Medição</t>
  </si>
  <si>
    <t>Análise causa raiz</t>
  </si>
  <si>
    <t>Refinar priorização por risco real</t>
  </si>
  <si>
    <t>N3 – Organização</t>
  </si>
  <si>
    <t>Matriz de risco atualizada</t>
  </si>
  <si>
    <t>QA + Dev</t>
  </si>
  <si>
    <t>Evoluir testes estáticos (PRs)</t>
  </si>
  <si>
    <t>Evidência contínua</t>
  </si>
  <si>
    <t>Padronizar checklist de prevenção</t>
  </si>
  <si>
    <t>N3 – Prevenção de Defeitos</t>
  </si>
  <si>
    <t>Checklist + uso</t>
  </si>
  <si>
    <t>Consolidar estratégia de testes por produto</t>
  </si>
  <si>
    <t>Documento estratégico</t>
  </si>
  <si>
    <t>Formalizar ambiente isolado de QA</t>
  </si>
  <si>
    <t>N3 – Ambiente de Testes</t>
  </si>
  <si>
    <t>Processo definido</t>
  </si>
  <si>
    <t>Cloud + QA</t>
  </si>
  <si>
    <t>Gestão</t>
  </si>
  <si>
    <t>Consolidar visão executiva anual</t>
  </si>
  <si>
    <t>Relatório executivo</t>
  </si>
  <si>
    <t>ID Melhoria</t>
  </si>
  <si>
    <t>Detalhe da Entrega</t>
  </si>
  <si>
    <t>Todas (TAG)</t>
  </si>
  <si>
    <t>Consolidar indicadores comparáveis (baseline + tendência) e gatilhos de ação</t>
  </si>
  <si>
    <t>N4 – Medição dos Testes (início) 
N2 – Monitoramento e Controle</t>
  </si>
  <si>
    <t>Dashboard publicado + definição das métricas + tendência trimestral + 3 gatilhos e ações padrão</t>
  </si>
  <si>
    <t>Política de Testes “Lite” (1 página)</t>
  </si>
  <si>
    <t>Documento publicado (escopo, papéis, critérios mínimos, evidência mínima, compliance)</t>
  </si>
  <si>
    <t>Todas exceto: Plataforma (Cartões) e Consent+Interop (Duplicatas)</t>
  </si>
  <si>
    <t>Levantar testes prioritários por risco por squad (P1/P2/P3) e registrar no Azure</t>
  </si>
  <si>
    <t>Lista P1/P2/P3 no Azure + critério de priorização registrado + baseline datado</t>
  </si>
  <si>
    <t>QAs por squad + Produto</t>
  </si>
  <si>
    <t>Cartões (todas as squads exceto Plataforma)</t>
  </si>
  <si>
    <t>Migrar 20% dos testes automatizados do Robot para Playwright (baseline Q1)</t>
  </si>
  <si>
    <t>QA / QEs / Dev (apoio)</t>
  </si>
  <si>
    <t>Escopo com os testes + lista dos testes migrados Playwright + evidência de execução</t>
  </si>
  <si>
    <t>QAs por squad</t>
  </si>
  <si>
    <t>Cartões + Duplicatas (onde aplicável)</t>
  </si>
  <si>
    <t>Automatizar P1 mínimo viável em Playwright por squad e gerar evidência</t>
  </si>
  <si>
    <t>Suites Playwright P1 + report/log anexado + padrão aplicado</t>
  </si>
  <si>
    <t>Cartões + Duplicatas</t>
  </si>
  <si>
    <t>Rodar automação em pipeline (padrão replicável + evidência) NF + NFT</t>
  </si>
  <si>
    <t>N3 – Integração dos Testes ao SDLC
N2 – Ambiente de Testes</t>
  </si>
  <si>
    <t>Pipeline rodando + gatilho definido (PR/merge/agendado) + artefatos (report/log) + doc mínima</t>
  </si>
  <si>
    <t>Trombeta + Cloud</t>
  </si>
  <si>
    <t>Duplicatas (Interop + Negotiation)</t>
  </si>
  <si>
    <t>Qualidade do PBI: manter média ≥3 no Q1</t>
  </si>
  <si>
    <t>Checklist/rubrica por PBI + relatório mensal com média ≥3</t>
  </si>
  <si>
    <t>Cobertura: 85% da regressão funcional automatizada dos endpoints críticos (baseline Q1)</t>
  </si>
  <si>
    <t>N2 – Desenho e Execução
N3 – Integração SDLC</t>
  </si>
  <si>
    <t>Baseline endpoints críticos + mapeamento endpoint→teste + execução em pipeline + evidência</t>
  </si>
  <si>
    <t>André + Trombeta</t>
  </si>
  <si>
    <r>
      <rPr>
        <rFont val="Arial"/>
        <b/>
        <color rgb="FF000000"/>
        <sz val="12.0"/>
      </rPr>
      <t xml:space="preserve">NFR </t>
    </r>
    <r>
      <rPr>
        <rFont val="Arial"/>
        <color rgb="FF000000"/>
        <sz val="12.0"/>
      </rPr>
      <t>piloto com critério e recorrência (não “para todos”)</t>
    </r>
  </si>
  <si>
    <t>N3 – Testes Não Funcionais (piloto)</t>
  </si>
  <si>
    <t>QA / Cloud / SI (se aplicável)</t>
  </si>
  <si>
    <t>Critérios (threshold) + execução recorrente + evidência do resultado</t>
  </si>
  <si>
    <t>Governança Mínima em STG</t>
  </si>
  <si>
    <t>N2 – Política/ Estratégia 
N2 – Ambiente / N3 – Organização</t>
  </si>
  <si>
    <t>QA / Cloud / Engenharia</t>
  </si>
  <si>
    <t>Versão mínima publicada com regras, janelas, massa e auditoria</t>
  </si>
  <si>
    <t>QA Chapter + Cloud</t>
  </si>
  <si>
    <t>Escalar padrão (P1/P2/P3 + regressão mínima) para squads restantes e formalizar regressão por squad</t>
  </si>
  <si>
    <t>N3 – Organização de Testes
N2 – Planejamento de Testes</t>
  </si>
  <si>
    <t>Regra de regressão por squad publicada + suites P1 padronizadas por squad</t>
  </si>
  <si>
    <t>QA Chapter + QAs</t>
  </si>
  <si>
    <t>Estabilizar automação (reduzir flaky, padronizar massa/dados e asserções)</t>
  </si>
  <si>
    <t>N3 – Integração dos Testes ao SDLC / 
N2 – Ambiente de Testes</t>
  </si>
  <si>
    <t>Queda de falhas flakey + padrão de dados/massa + evidência de estabilidade em pipeline</t>
  </si>
  <si>
    <t>Treinamento mínimo formal (onboarding + padrão Playwright + QR)</t>
  </si>
  <si>
    <t>Trilha publicada + registro de execução (quem fez) + material centralizado</t>
  </si>
  <si>
    <t>Mapear incidentes por amostragem e correlacionar com falhas de teste</t>
  </si>
  <si>
    <t>N4 – Avaliação da Qualidade do Produto (início) / N4 – Medição</t>
  </si>
  <si>
    <t>Relatório por squad + link incidente→jornada→lacuna de teste + ações</t>
  </si>
  <si>
    <t>Refinar priorização por risco usando dados (defeitos/incidentes)</t>
  </si>
  <si>
    <t>N4 – Medição dos Testes / 
N3 – Organização de Testes</t>
  </si>
  <si>
    <t>Matriz de risco atualizada por dados + atualização do escopo P1/P2/P3</t>
  </si>
  <si>
    <r>
      <rPr>
        <rFont val="Arial"/>
        <color rgb="FF000000"/>
        <sz val="12.0"/>
      </rPr>
      <t xml:space="preserve">Jornadas Críticas </t>
    </r>
    <r>
      <rPr>
        <rFont val="Arial"/>
        <b/>
        <color rgb="FF000000"/>
        <sz val="12.0"/>
      </rPr>
      <t>NFR</t>
    </r>
  </si>
  <si>
    <t>Critérios + execução recorrente + evidência do resultado</t>
  </si>
  <si>
    <t>Política e estratégia completas + governança madura de STG/dados</t>
  </si>
  <si>
    <t>N2 – Política/ Estratégia / 
N2 – Ambiente / N3 – Organização</t>
  </si>
  <si>
    <t>Versão completa publicada + compliance mínimo + auditoria simples de aderência</t>
  </si>
  <si>
    <t>Checklist de prevenção + RCA leve como rotina</t>
  </si>
  <si>
    <t>N5 – Prevenção de Defeitos (início)</t>
  </si>
  <si>
    <t>QA / Squad / Gestão</t>
  </si>
  <si>
    <t>Checklist publicado + evidência de uso + RCA leve em defeitos recorrentes</t>
  </si>
  <si>
    <t>Consolidar visão executiva anual orientada por dados</t>
  </si>
  <si>
    <t>Relatório anual com tendências, decisões tomadas e próximos focos</t>
  </si>
  <si>
    <t>Score TMMi - TRIMESTRE 1</t>
  </si>
  <si>
    <t>Legenda</t>
  </si>
  <si>
    <t>SQUAD</t>
  </si>
  <si>
    <t>ID_MELHORIA</t>
  </si>
  <si>
    <t>NÍVEL E ÁREA DE PROCESSO</t>
  </si>
  <si>
    <t>ENTREGÁVEL</t>
  </si>
  <si>
    <t>DOR (DEFINITION OF DONE)</t>
  </si>
  <si>
    <t>EVIDÊNCIAS</t>
  </si>
  <si>
    <t>SCORE</t>
  </si>
  <si>
    <t>STATUS</t>
  </si>
  <si>
    <t>TODAS AS SQUADS</t>
  </si>
  <si>
    <t>(MVP) Política de Testes “Lite” (1 página)</t>
  </si>
  <si>
    <t>Documento publicado (escopo, papéis, critérios mínimos, evidência mínima, compliance) + comunicação oficial</t>
  </si>
  <si>
    <t>Política de Testes – TAG IMF0</t>
  </si>
  <si>
    <t>PLANEJADO</t>
  </si>
  <si>
    <t>(MVP) Indicadores comparáveis (baseline + tendência) + 3 gatilhos de ação</t>
  </si>
  <si>
    <t>Dashboard publicado + definições + tendência trimestral + gatilhos e ações padrão documentados</t>
  </si>
  <si>
    <t>DESENVOLVENDO</t>
  </si>
  <si>
    <t>EM ADOÇÃO</t>
  </si>
  <si>
    <t>ADOTADO</t>
  </si>
  <si>
    <t>ATIVOS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</si>
  <si>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</si>
  <si>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t>(MVP) Governança mínima de STG (regras, janelas, massa e auditoria)</t>
  </si>
  <si>
    <t>Regras publicadas + controle de acesso + janelas definidas + procedimento de restauração de massa + registro/auditoria (quem/quando/o quê)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</si>
  <si>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</si>
  <si>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t>(MVP) Levantar testes prioritários por risco por squad (P1/P2/P3) e registrar no Azure</t>
  </si>
  <si>
    <t xml:space="preserve">Lista dos testes de regressão priorizados P1/P2/P3 no Azure + critério de priorização 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</si>
  <si>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</si>
  <si>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t>(MVP) Revisar P1/P2/P3 existente (sanidade e atualização mínima)</t>
  </si>
  <si>
    <t>Revisão registrada (data) + ajustes se necessário + link no Azure</t>
  </si>
  <si>
    <t>(MVP) Migrar 20% dos testes automatizados do Robot para Playwright (baseline Q1, priorização por risco)</t>
  </si>
  <si>
    <t>Baseline Robot (data de corte) + lista migrada + evidência de execução; foco preferencial em P1</t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</si>
  <si>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</si>
  <si>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t>(MVP) Rodar automação em pipeline (template padrão replicável) para regressão P1</t>
  </si>
  <si>
    <t>Pipeline rodando + gatilho definido + artefatos (report/log) + doc mínima</t>
  </si>
  <si>
    <t>(MVP) Automatizar o mínimo viável de P1 no Playwright por squad (regressão crítica)</t>
  </si>
  <si>
    <t>Suites P1 + report/log + padrão de código aplicado + rastreio com PBI/Plano</t>
  </si>
  <si>
    <t>(Aplicado via Playwright) Evidência padronizada de execução (report/log)</t>
  </si>
  <si>
    <t>Evidência já gerada nos reports do Playwright e anexada/armazenada conforme padrão do repo/pipeline</t>
  </si>
  <si>
    <t>(MVP) Qualidade do PBI: manter média ≥3 no Q1 (campo oficial)</t>
  </si>
  <si>
    <t>Rubrica/checklist por PBI + relatório mensal com média ≥3</t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</si>
  <si>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</si>
  <si>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(Stretch – faseado internamente) Avançar cobertura de regressão automatizada dos endpoints críticos (baseline Q1)</t>
  </si>
  <si>
    <t>Baseline endpoints críticos datado + mapeamento endpoint→teste + evolução mensal comprovada por execução em pipeline</t>
  </si>
  <si>
    <t>(MVP) Estratégia NFR “Lite” por produto/jornada (o que medir, quando rodar, critérios e evidência)</t>
  </si>
  <si>
    <t>Documento Lite publicado + backlog NFR priorizado por risco + cadência definida</t>
  </si>
  <si>
    <t xml:space="preserve">(Piloto) NFR em pipeline com baseline e evidência (evitar atuação reativa) - Cartões </t>
  </si>
  <si>
    <t>Pipeline NFR rodando + report versionado + baseline coletado (2–4 semanas) + registro de execução</t>
  </si>
  <si>
    <t>DEMONSTRAÇÕES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</si>
  <si>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</si>
  <si>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</si>
  <si>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</si>
  <si>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</si>
  <si>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</si>
  <si>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OPERAÇÕES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</si>
  <si>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</si>
  <si>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</si>
  <si>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</si>
  <si>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</si>
  <si>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</si>
  <si>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PLATAFORMA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</si>
  <si>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</si>
  <si>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</si>
  <si>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</si>
  <si>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</si>
  <si>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</si>
  <si>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INTEROP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</si>
  <si>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</si>
  <si>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</si>
  <si>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</si>
  <si>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</si>
  <si>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</si>
  <si>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NEGOTIATION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</si>
  <si>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</si>
  <si>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</si>
  <si>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</si>
  <si>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</si>
  <si>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</si>
  <si>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CONSENT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</si>
  <si>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</si>
  <si>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</si>
  <si>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</si>
  <si>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</si>
  <si>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</si>
  <si>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Evidência / DOR (Definition of Ready)</t>
  </si>
  <si>
    <t>Status Geral</t>
  </si>
  <si>
    <t>N2 – Ambiente de Testes / N3 – Organização de Testes</t>
  </si>
  <si>
    <t>Cloud / Engenharia / QA / Tech Leads</t>
  </si>
  <si>
    <t>QA (Governança)</t>
  </si>
  <si>
    <t>N4 – Medição dos Testes (início) / N2 – Monitoramento e Controle</t>
  </si>
  <si>
    <t>Plataforma (Cartões) + Consent e Interop (Duplicatas)</t>
  </si>
  <si>
    <t>QAs dessas squads + Produto</t>
  </si>
  <si>
    <t>N3 – Integração dos Testes ao SDLC / N2 – Ambiente de Testes</t>
  </si>
  <si>
    <t>Cartões (todas as squads) exceto Plataforma</t>
  </si>
  <si>
    <t>QAs Cartões Anselmo</t>
  </si>
  <si>
    <t>N2 – Desenho e Execução / N2 – Monitoramento e Controle</t>
  </si>
  <si>
    <t>QAs (via padrão Playwright)</t>
  </si>
  <si>
    <t>N2 – Desenho e Execução / N3 – Integração SDLC</t>
  </si>
  <si>
    <t>NFR</t>
  </si>
  <si>
    <t>Produtos: Cartões + Duplicatas</t>
  </si>
  <si>
    <t>QA (NFR) / Cloud / Produto / Tech Leads</t>
  </si>
  <si>
    <t>Recurso(s) NFR + QA Chapter</t>
  </si>
  <si>
    <t>NFR + Cloud</t>
  </si>
  <si>
    <t>Piloto (Cartões: Operações)</t>
  </si>
  <si>
    <t>(Piloto) NFR em pipeline com baseline e evidência (evitar atuação reativa)</t>
  </si>
  <si>
    <t>N3 – Testes Não Funcionais (piloto) / N3 – Integração ao SDLC</t>
  </si>
  <si>
    <t>QA (NFR) / Cloud / DevOps</t>
  </si>
  <si>
    <t>Recurso(s) NFR + Cloud</t>
  </si>
  <si>
    <t>T1-N3-14</t>
  </si>
  <si>
    <t>Piloto (Duplicatas: Consent)</t>
  </si>
  <si>
    <t>N3 – Organização de Testes / N2 – Planejamento</t>
  </si>
  <si>
    <t>N3 – Integração ao SDLC / N2 – Ambiente de Testes</t>
  </si>
  <si>
    <t>Expandir NFR do piloto para top jornadas críticas com cadência (nightly/pré-release)</t>
  </si>
  <si>
    <t>QA (NFR) / Produto / Tech Leads</t>
  </si>
  <si>
    <t>Execução recorrente + reports versionados + cobertura NFR nas jornadas priorizadas</t>
  </si>
  <si>
    <t>Recurso(s) NFR</t>
  </si>
  <si>
    <t>Treinamento mínimo formal (onboarding + padrão Playwright + QR + NFR Lite)</t>
  </si>
  <si>
    <t>Mapear incidentes por amostragem e correlacionar com falhas de teste (funcional + NFR)</t>
  </si>
  <si>
    <t>Relatório por produto/squad + incidente→jornada→lacuna→ação + priorização ajustada</t>
  </si>
  <si>
    <t>Refinar P1/P2/P3 usando dados (defeitos/incidentes/tendências)</t>
  </si>
  <si>
    <t>N4 – Medição / N3 – Organização</t>
  </si>
  <si>
    <t>Matriz de risco atualizada por dados + atualização do P1/P2/P3 no Azure</t>
  </si>
  <si>
    <t>Definir thresholds e gatilhos go/no-go (baseline → limites) e aplicar em 1 release</t>
  </si>
  <si>
    <t>N4 – Medição dos Testes (NFR)</t>
  </si>
  <si>
    <t>QA (NFR) / Gestão / Tech Leads</t>
  </si>
  <si>
    <t>Thresholds publicados + regra de decisão + evidência de aplicação em release</t>
  </si>
  <si>
    <t>Recurso(s) NFR + Gestão</t>
  </si>
  <si>
    <t>Política/estratégia completas + governança madura de STG/dados</t>
  </si>
  <si>
    <t>N2 – Política/ Estratégia / N2 – Ambiente / N3 – Organização</t>
  </si>
  <si>
    <t>Versão completa publicada + auditoria simples de aderência + melhorias institucionalizadas</t>
  </si>
  <si>
    <t>RCA leve + checklist de prevenção como rotina</t>
  </si>
  <si>
    <t>Checklist publicado + evidência de uso + RCA em recorrências + ações preventivas</t>
  </si>
  <si>
    <t>Relatório executivo anual orientado por dados (incluindo NFR)</t>
  </si>
  <si>
    <t>Mapa do TMMi (O que tem em casa nível)</t>
  </si>
  <si>
    <t>Nível</t>
  </si>
  <si>
    <t>Descrição</t>
  </si>
  <si>
    <r>
      <rPr>
        <rFont val="Arial"/>
        <b/>
        <color theme="1"/>
      </rPr>
      <t xml:space="preserve">TMMi Nível 2 — Gerenciado
</t>
    </r>
    <r>
      <rPr>
        <rFont val="Arial"/>
        <color theme="1"/>
      </rPr>
      <t xml:space="preserve">Aqui a organização estabelece o jeito básico de testar e consegue gerenciar isso no projeto.
Pode variar de um projeto para outro, mas já existe direção clara (principalmente via política e estratégia de testes) e já acontece:
1-  Planejamento
2 - Monitoramento e controle
3 - Técnicas de desenho de testes
4 - Controle da execução
5 - Ambientes de teste disponíveis para os testes (STG)
</t>
    </r>
    <r>
      <rPr>
        <rFont val="Arial"/>
        <b/>
        <color theme="1"/>
      </rPr>
      <t>Em uma frase</t>
    </r>
    <r>
      <rPr>
        <rFont val="Arial"/>
        <color theme="1"/>
      </rPr>
      <t xml:space="preserve">: testar deixa de ser improviso e vira rotina controlada por projeto. </t>
    </r>
  </si>
  <si>
    <r>
      <rPr>
        <rFont val="Arial"/>
        <b/>
        <color theme="1"/>
      </rPr>
      <t xml:space="preserve">TMMi Nível 3 — Definido
</t>
    </r>
    <r>
      <rPr>
        <rFont val="Arial"/>
        <color theme="1"/>
      </rPr>
      <t xml:space="preserve">Aqui para de ser “cada projeto do seu jeito” e vira padrão da organização: todos os projetos seguem os mesmos padrões e procedimentos.
Além do N2 continuar existindo, agora nós temos:
1 - Times organizados para teste
2 - Programa de treinamento
3 - Teste integrado ao ciclo de desenvolvimento e entrando cedo
4 - Testes não funcionais planejados e executados em todos os projetos
5 - Revisões (reviews) acontecendo em cada projeto 
</t>
    </r>
    <r>
      <rPr>
        <rFont val="Arial"/>
        <b/>
        <color theme="1"/>
      </rPr>
      <t>Em uma frase</t>
    </r>
    <r>
      <rPr>
        <rFont val="Arial"/>
        <color theme="1"/>
      </rPr>
      <t xml:space="preserve">: qualidade vira processo organizacional, não esforço heroico. </t>
    </r>
  </si>
  <si>
    <r>
      <rPr>
        <rFont val="Arial"/>
        <b/>
        <color theme="1"/>
      </rPr>
      <t xml:space="preserve">TMMi Nível 4 — Medido
</t>
    </r>
    <r>
      <rPr>
        <rFont val="Arial"/>
        <color theme="1"/>
      </rPr>
      <t xml:space="preserve">
Aqui o diferencial é medição forte e cedo: medir atividades e resultados de forma consistente, desde o início, para garantir que em cada etapa o produto esteja o mais “livre de defeitos possível”.
E entram revisões avançadas em todos os projetos, evoluindo o que começou no nível 3. 
</t>
    </r>
    <r>
      <rPr>
        <rFont val="Arial"/>
        <b/>
        <color theme="1"/>
      </rPr>
      <t xml:space="preserve">Em uma frase: </t>
    </r>
    <r>
      <rPr>
        <rFont val="Arial"/>
        <color theme="1"/>
      </rPr>
      <t>qualidade passa a ser guiada por dados e previsibilidade, não só percepção.</t>
    </r>
  </si>
  <si>
    <r>
      <rPr>
        <rFont val="Arial"/>
        <b/>
        <color theme="1"/>
      </rPr>
      <t xml:space="preserve">TMMi Nível 5 — Otimização
</t>
    </r>
    <r>
      <rPr>
        <rFont val="Arial"/>
        <color theme="1"/>
      </rPr>
      <t xml:space="preserve">
Aqui tudo é avaliado (atividades e resultados) e existem ações de otimização para manter melhoria contínua, com foco em:
1 - Prevenção de defeitos
2 - Qualidade otimizada 
</t>
    </r>
    <r>
      <rPr>
        <rFont val="Arial"/>
        <b/>
        <color theme="1"/>
      </rPr>
      <t xml:space="preserve">
Em uma frase</t>
    </r>
    <r>
      <rPr>
        <rFont val="Arial"/>
        <color theme="1"/>
      </rPr>
      <t xml:space="preserve">: a organização aprende, ajusta e previne — continuamente. </t>
    </r>
  </si>
  <si>
    <r>
      <rPr/>
      <t xml:space="preserve">Fonte: </t>
    </r>
    <r>
      <rPr>
        <color rgb="FF1155CC"/>
        <u/>
      </rPr>
      <t>https://www.tmmi.org/</t>
    </r>
  </si>
  <si>
    <t>Entregue x Esperado pelo TMMi</t>
  </si>
  <si>
    <t>Entregue na TAG (observação)</t>
  </si>
  <si>
    <t>Esperado pelo TMMi (gap)</t>
  </si>
  <si>
    <t>N2 – Gerenciado</t>
  </si>
  <si>
    <t>Diretrizes na prática (escopo downstream, padrões mínimos, criticidade C0–C2), porém política institucional formal ainda não fechada.</t>
  </si>
  <si>
    <t>Formalizar e publicar a política (objetivo, escopo, responsabilidades, compliance) para institucionalizar.</t>
  </si>
  <si>
    <t>Estratégia prática implementada (modelo de atuação do QA, padrões de evidência/defeito/métricas, foco em risco/criticidade).</t>
  </si>
  <si>
    <t>Consolidar a estratégia como referência única (níveis de teste, critérios de aplicação e adaptação por produto/squad).</t>
  </si>
  <si>
    <t>Artefatos de planejamento (manual/planilha), priorização por criticidade, organização no Azure Test Plans.</t>
  </si>
  <si>
    <t>Explicitar critérios de entrada/saída e gestão de risco por jornada (reduzir variação por squad).</t>
  </si>
  <si>
    <t>Dashboards/métricas operacionais no Azure, acompanhamento por execução/defeitos.</t>
  </si>
  <si>
    <t>Definir gatilhos de ação (limiares e resposta padrão: replanejar, travar release, ampliar escopo etc.).</t>
  </si>
  <si>
    <t>Padrões de evidência, execução estruturada e organização de testes (incluindo estrutura por Swagger/rotas no Azure).</t>
  </si>
  <si>
    <t>Ampliar reuso e cobertura prioritária por jornada (menos por sprint, mais por risco do produto).</t>
  </si>
  <si>
    <t>Fluxo de bugs com evidência obrigatória, criticidade C0/C1/C2, rastreabilidade com PBIs.</t>
  </si>
  <si>
    <t>Transformar tendência de defeitos em ações recorrentes (ponte para N4/N5: prevenção e otimização).</t>
  </si>
  <si>
    <t>Boas práticas/documentação de ambientes e execução de automação em nuvem via pipeline (Playwright) para 2 squads.</t>
  </si>
  <si>
    <t>Estabelecer governança do ambiente (uso, dados, estabilidade) e evoluir ambiente isolado como capability institucional.</t>
  </si>
  <si>
    <t>N3 – Definido</t>
  </si>
  <si>
    <t>Chapter de QA e alinhamento de papéis/responsabilidades com PMs (tríade) e squads.</t>
  </si>
  <si>
    <t>Formalizar o modelo organizacional (papéis, cadência, governança e critérios de maturidade por squad).</t>
  </si>
  <si>
    <t>Mini-treinamentos recorrentes e materiais de boas práticas (ex.: automação).</t>
  </si>
  <si>
    <t>Criar trilha mínima e registro (onboarding + evolução por papel, não só conteúdo pontual).</t>
  </si>
  <si>
    <t>Quality Review no refinamento e integração QA–Produto–Dev em squads mais maduras.</t>
  </si>
  <si>
    <r>
      <rPr>
        <rFont val="Arial"/>
        <color theme="1"/>
      </rPr>
      <t>Tornar padrão para todas as squads (entrada cedo e consistente, reduzindo dependência do QA como gatilho).</t>
    </r>
    <r>
      <rPr>
        <rFont val="Arial"/>
        <i/>
        <color theme="1"/>
      </rPr>
      <t xml:space="preserve"> </t>
    </r>
    <r>
      <rPr>
        <rFont val="Arial"/>
        <b/>
        <i/>
        <color rgb="FFFF0000"/>
      </rPr>
      <t>SHIFTLEFT Testing</t>
    </r>
  </si>
  <si>
    <t>Validações pontuais (ex.: performance/segurança) e suporte quando demandado.</t>
  </si>
  <si>
    <t>Definir estratégia de NFR por produto/jornada (o que medir, quando rodar, critérios e evidência), evitando atuação só reativa.</t>
  </si>
  <si>
    <t>Artefato de Quality Review enxuto e aplicado (foco em testabilidade/clareza).</t>
  </si>
  <si>
    <t>Aumentar consistência e rastreabilidade do que foi prevenido/evitado para alimentar medição e decisões (ponte N4).</t>
  </si>
  <si>
    <t>N4 – Gerenciado Quantitativamente</t>
  </si>
  <si>
    <t>Métricas padrão definidas e dashboards (Azure).</t>
  </si>
  <si>
    <t>Consolidar objetivos/medidas e histórico comparável (governança de dados de medição e uso recorrente).</t>
  </si>
  <si>
    <t>Início de visão por indicadores e incidência/criticidade como sinalizadores de qualidade.</t>
  </si>
  <si>
    <t>Definir metas mensuráveis por atributos (funcionais e não funcionais) e usar para decisão consistente (risco/go/no-go).</t>
  </si>
  <si>
    <t>Base de reviews (Quality Review) existe.</t>
  </si>
  <si>
    <t>Integrar reviews com testes dinâmicos e usar dados de review para ajustar abordagem de teste (review como instrumento de medição e melhoria).</t>
  </si>
  <si>
    <t>N5 – Otimização</t>
  </si>
  <si>
    <t>Estrutura N2/N3 pronta para gerar insumos (bugs com evidência, criticidade, review).</t>
  </si>
  <si>
    <t>Instituir prevenção baseada em causa raiz e ação preventiva recorrente (não só correção).</t>
  </si>
  <si>
    <t>Controle operacional forte (N2) e governança em adoção (N3).</t>
  </si>
  <si>
    <t>Evoluir para controle sistêmico e proativo com base em dados (qualidade governada ponta a ponta, não dependente de squad/QA).</t>
  </si>
  <si>
    <t>Melhoria contínua em curso (trabalho de base + engenharia), porém ainda por iniciativa e ciclo.</t>
  </si>
  <si>
    <t>Implementar otimização contínua institucional com metas, medição e ajustes sistemáticos (ciclo fechado N4→N5).</t>
  </si>
  <si>
    <t>TRIMESTRE</t>
  </si>
  <si>
    <t>ENTREGA</t>
  </si>
  <si>
    <t>SUBCRITÉRIO</t>
  </si>
  <si>
    <t>PESO</t>
  </si>
  <si>
    <t>ATENDIDO</t>
  </si>
  <si>
    <t>LINK DA EVIDÊNCIA</t>
  </si>
  <si>
    <t>OBS</t>
  </si>
  <si>
    <t>DATA</t>
  </si>
  <si>
    <t>Governança mínima de STG (regras, janelas, massa e auditoria)</t>
  </si>
  <si>
    <t>Regras publicadas</t>
  </si>
  <si>
    <t>Controle de acesso definido/aplicado</t>
  </si>
  <si>
    <t>Janelas de uso definidas e comunicadas</t>
  </si>
  <si>
    <t>Procedimento de restauração de massa definido</t>
  </si>
  <si>
    <t>Registro/auditoria de execuções (quem/quando/o quê)</t>
  </si>
  <si>
    <t>Documento publicado</t>
  </si>
  <si>
    <t>Escopo/papéis definidos</t>
  </si>
  <si>
    <t>Critérios mínimos + evidência mínima definidos</t>
  </si>
  <si>
    <t>Comunicação oficial realizada</t>
  </si>
  <si>
    <t>Indicadores comparáveis (baseline+tendência) + gatilhos de ação</t>
  </si>
  <si>
    <t>Dashboard publicado</t>
  </si>
  <si>
    <t>Definições dos indicadores (glossário)</t>
  </si>
  <si>
    <t>Baseline datado (ponto zero)</t>
  </si>
  <si>
    <t>Tendência trimestral visível</t>
  </si>
  <si>
    <t>3 gatilhos + ações padrão documentados</t>
  </si>
  <si>
    <t>Levantar testes prioritários por risco (P1/P2/P3)</t>
  </si>
  <si>
    <t>Lista P1/P2/P3 registrada (doc ou card com link do Azure quando houver)</t>
  </si>
  <si>
    <t>Critério de priorização registrado</t>
  </si>
  <si>
    <t>Baseline datado (data de corte)</t>
  </si>
  <si>
    <t>Revisar P1/P2/P3 existente</t>
  </si>
  <si>
    <t>Revisão registrada com data</t>
  </si>
  <si>
    <t>Ajustes aplicados ou “sem ajustes” registrado</t>
  </si>
  <si>
    <t>Link do registro atualizado</t>
  </si>
  <si>
    <t>Pipeline padrão para regressão P1 (template replicável)</t>
  </si>
  <si>
    <t>Pipeline rodando (link do run ou doc/card)</t>
  </si>
  <si>
    <t>Gatilho definido (manual/nightly/pré-release)</t>
  </si>
  <si>
    <t>Report/log gerado e acessível</t>
  </si>
  <si>
    <t>Doc mínima (como rodar/onde ver evidência)</t>
  </si>
  <si>
    <t>Robot → Playwright (migrar 20% - Cartões)</t>
  </si>
  <si>
    <t>Baseline Robot datado</t>
  </si>
  <si>
    <t>Lista migrada registrada</t>
  </si>
  <si>
    <t>Evidência de execução no Playwright</t>
  </si>
  <si>
    <t>Registro de priorização (P1 primeiro)</t>
  </si>
  <si>
    <t>Automatizar mínimo viável P1 por squad (Playwright)</t>
  </si>
  <si>
    <t>Suite P1 criada</t>
  </si>
  <si>
    <t>Execução com report/log</t>
  </si>
  <si>
    <t>Padrão mínimo de código aplicado</t>
  </si>
  <si>
    <t>Rastreio com PBI/Plano</t>
  </si>
  <si>
    <t>Evidência padronizada via Playwright (report/log)</t>
  </si>
  <si>
    <t>Report/log padrão existe</t>
  </si>
  <si>
    <t>Padrão de armazenamento definido</t>
  </si>
  <si>
    <t>Link padrão para localizar evidências</t>
  </si>
  <si>
    <t>Qualidade do PBI ≥3 (campo oficial)</t>
  </si>
  <si>
    <t>Rubrica/checklist definido</t>
  </si>
  <si>
    <t>Checklist aplicado nos PBIs do mês</t>
  </si>
  <si>
    <t>Relatório mensal publicado</t>
  </si>
  <si>
    <t>Média ≥3 comprovada</t>
  </si>
  <si>
    <t>Endpoints críticos: automação faseada (baseline)</t>
  </si>
  <si>
    <t>Baseline endpoints críticos datado</t>
  </si>
  <si>
    <t>Mapeamento endpoint→teste</t>
  </si>
  <si>
    <t>Execução em pipeline comprovada</t>
  </si>
  <si>
    <t>Evolução mensal registrada</t>
  </si>
  <si>
    <t>Estratégia NFR “Lite” por produto/jornada (o que medir, quando rodar, critérios e evidência)</t>
  </si>
  <si>
    <t>Documento NFR Lite publicado</t>
  </si>
  <si>
    <t>“O que medir” definido</t>
  </si>
  <si>
    <t>“Quando rodar” (cadência) definido</t>
  </si>
  <si>
    <t>Critérios/evidência definidos</t>
  </si>
  <si>
    <t>Backlog NFR priorizado por risco</t>
  </si>
  <si>
    <t>NFR em pipeline (piloto)</t>
  </si>
  <si>
    <t>Pipeline NFR rodando</t>
  </si>
  <si>
    <t>Report versionado/armazenado</t>
  </si>
  <si>
    <t>Baseline coletado (mínimo 2 semanas)</t>
  </si>
  <si>
    <t>Registro de execuções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</si>
</sst>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3">
    <font>
      <sz val="10.0"/>
      <color rgb="FF000000"/>
      <name val="Arial"/>
      <scheme val="minor"/>
    </font>
    <font>
      <b/>
      <color theme="1"/>
      <name val="Arial"/>
    </font>
    <font>
      <b/>
      <sz val="17.0"/>
      <color rgb="FFFFFFFF"/>
      <name val="Arial"/>
    </font>
    <font/>
    <font>
      <b/>
      <sz val="11.0"/>
      <color theme="1"/>
      <name val="Arial"/>
    </font>
    <font>
      <color theme="1"/>
      <name val="Arial"/>
    </font>
    <font>
      <b/>
      <color rgb="FFFFFFFF"/>
      <name val="Arial"/>
    </font>
    <font>
      <b/>
      <color rgb="FF274E13"/>
      <name val="Arial"/>
    </font>
    <font>
      <b/>
      <color rgb="FF1C4587"/>
      <name val="Arial"/>
    </font>
    <font>
      <b/>
      <color rgb="FFFF9900"/>
      <name val="Arial"/>
    </font>
    <font>
      <b/>
      <color rgb="FF9900FF"/>
      <name val="Arial"/>
    </font>
    <font>
      <sz val="10.0"/>
      <color theme="1"/>
      <name val="Arial"/>
    </font>
    <font>
      <b/>
      <sz val="20.0"/>
      <color rgb="FFFFFFFF"/>
      <name val="Arial"/>
      <scheme val="minor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1.0"/>
      <color rgb="FFFFFFFF"/>
      <name val="Aptos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274E13"/>
      <name val="Arial"/>
    </font>
    <font>
      <b/>
      <sz val="11.0"/>
      <color rgb="FF0C343D"/>
      <name val="Arial"/>
    </font>
    <font>
      <b/>
      <sz val="11.0"/>
      <color rgb="FFFF9900"/>
      <name val="Arial"/>
    </font>
    <font>
      <b/>
      <sz val="11.0"/>
      <color rgb="FF9900FF"/>
      <name val="Arial"/>
    </font>
    <font>
      <sz val="12.0"/>
      <color rgb="FF000000"/>
      <name val="Aptos"/>
    </font>
    <font>
      <b/>
      <sz val="13.0"/>
      <color rgb="FFFFFFFF"/>
      <name val="Arial"/>
      <scheme val="minor"/>
    </font>
    <font>
      <b/>
      <sz val="12.0"/>
      <color rgb="FFFFFFFF"/>
      <name val="Arial"/>
    </font>
    <font>
      <b/>
      <sz val="12.0"/>
      <color rgb="FFFFFFFF"/>
      <name val="Aptos"/>
    </font>
    <font>
      <color rgb="FF000000"/>
      <name val="Aptos"/>
    </font>
    <font>
      <sz val="12.0"/>
      <color rgb="FF202124"/>
      <name val="&quot;Google Sans&quot;"/>
    </font>
    <font>
      <b/>
      <sz val="15.0"/>
      <color rgb="FFFFFFFF"/>
      <name val="Arial"/>
    </font>
    <font>
      <b/>
      <color rgb="FF0C343D"/>
      <name val="Arial"/>
    </font>
    <font>
      <b/>
      <sz val="12.0"/>
      <color theme="1"/>
      <name val="Arial"/>
    </font>
    <font>
      <b/>
      <sz val="12.0"/>
      <color theme="1"/>
      <name val="Aptos"/>
    </font>
    <font>
      <sz val="12.0"/>
      <color rgb="FF000000"/>
      <name val="Arial"/>
    </font>
    <font>
      <sz val="12.0"/>
      <color rgb="FF3F4170"/>
      <name val="Arial"/>
    </font>
    <font>
      <sz val="12.0"/>
      <color theme="1"/>
      <name val="Aptos"/>
    </font>
    <font>
      <b/>
      <sz val="12.0"/>
      <color rgb="FFFF0000"/>
      <name val="Arial"/>
    </font>
    <font>
      <sz val="12.0"/>
      <color theme="1"/>
      <name val="Arial"/>
    </font>
    <font>
      <b/>
      <sz val="26.0"/>
      <color rgb="FFD9D9D9"/>
      <name val="Arial"/>
    </font>
    <font>
      <b/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6.0"/>
      <color rgb="FFFFFFFF"/>
      <name val="Arial"/>
    </font>
    <font>
      <u/>
      <color rgb="FF0000FF"/>
    </font>
    <font>
      <b/>
      <sz val="14.0"/>
      <color theme="1"/>
      <name val="Arial"/>
    </font>
    <font>
      <b/>
      <sz val="20.0"/>
      <color rgb="FF373F6B"/>
      <name val="Arial"/>
    </font>
    <font>
      <sz val="11.0"/>
      <color theme="1"/>
      <name val="Calibri"/>
    </font>
    <font>
      <sz val="11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8FAFD"/>
        <bgColor rgb="FFF8FAFD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</fills>
  <borders count="23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5" fillId="4" fontId="6" numFmtId="0" xfId="0" applyAlignment="1" applyBorder="1" applyFill="1" applyFont="1">
      <alignment horizontal="center" vertical="center"/>
    </xf>
    <xf borderId="4" fillId="0" fontId="7" numFmtId="0" xfId="0" applyBorder="1" applyFont="1"/>
    <xf borderId="4" fillId="0" fontId="5" numFmtId="0" xfId="0" applyAlignment="1" applyBorder="1" applyFont="1">
      <alignment horizontal="center" vertical="center"/>
    </xf>
    <xf borderId="4" fillId="0" fontId="5" numFmtId="0" xfId="0" applyBorder="1" applyFont="1"/>
    <xf borderId="6" fillId="0" fontId="3" numFmtId="0" xfId="0" applyBorder="1" applyFont="1"/>
    <xf borderId="4" fillId="0" fontId="5" numFmtId="0" xfId="0" applyAlignment="1" applyBorder="1" applyFont="1">
      <alignment horizontal="center" readingOrder="0"/>
    </xf>
    <xf borderId="7" fillId="0" fontId="3" numFmtId="0" xfId="0" applyBorder="1" applyFont="1"/>
    <xf borderId="5" fillId="5" fontId="6" numFmtId="0" xfId="0" applyAlignment="1" applyBorder="1" applyFill="1" applyFont="1">
      <alignment horizontal="center" vertical="center"/>
    </xf>
    <xf borderId="4" fillId="0" fontId="8" numFmtId="0" xfId="0" applyBorder="1" applyFont="1"/>
    <xf borderId="4" fillId="0" fontId="5" numFmtId="0" xfId="0" applyAlignment="1" applyBorder="1" applyFont="1">
      <alignment horizontal="center"/>
    </xf>
    <xf borderId="5" fillId="6" fontId="6" numFmtId="0" xfId="0" applyAlignment="1" applyBorder="1" applyFill="1" applyFont="1">
      <alignment horizontal="center" vertical="center"/>
    </xf>
    <xf borderId="4" fillId="0" fontId="9" numFmtId="0" xfId="0" applyBorder="1" applyFont="1"/>
    <xf borderId="4" fillId="0" fontId="5" numFmtId="0" xfId="0" applyAlignment="1" applyBorder="1" applyFont="1">
      <alignment readingOrder="0"/>
    </xf>
    <xf borderId="5" fillId="7" fontId="6" numFmtId="0" xfId="0" applyAlignment="1" applyBorder="1" applyFill="1" applyFont="1">
      <alignment horizontal="center" vertical="center"/>
    </xf>
    <xf borderId="4" fillId="0" fontId="10" numFmtId="0" xfId="0" applyBorder="1" applyFont="1"/>
    <xf borderId="4" fillId="0" fontId="1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5" fillId="8" fontId="13" numFmtId="0" xfId="0" applyAlignment="1" applyBorder="1" applyFill="1" applyFont="1">
      <alignment horizontal="center" readingOrder="0" vertical="center"/>
    </xf>
    <xf borderId="5" fillId="8" fontId="14" numFmtId="0" xfId="0" applyAlignment="1" applyBorder="1" applyFont="1">
      <alignment horizontal="center" readingOrder="0" vertical="center"/>
    </xf>
    <xf borderId="5" fillId="8" fontId="15" numFmtId="0" xfId="0" applyAlignment="1" applyBorder="1" applyFont="1">
      <alignment horizontal="center" readingOrder="0" vertical="center"/>
    </xf>
    <xf borderId="1" fillId="8" fontId="14" numFmtId="0" xfId="0" applyAlignment="1" applyBorder="1" applyFont="1">
      <alignment horizontal="center" readingOrder="0" vertical="center"/>
    </xf>
    <xf borderId="4" fillId="8" fontId="15" numFmtId="0" xfId="0" applyAlignment="1" applyBorder="1" applyFont="1">
      <alignment horizontal="center" readingOrder="0" vertical="center"/>
    </xf>
    <xf borderId="4" fillId="9" fontId="15" numFmtId="0" xfId="0" applyAlignment="1" applyBorder="1" applyFill="1" applyFont="1">
      <alignment horizontal="center" readingOrder="0" vertical="center"/>
    </xf>
    <xf borderId="4" fillId="10" fontId="16" numFmtId="0" xfId="0" applyAlignment="1" applyBorder="1" applyFill="1" applyFont="1">
      <alignment readingOrder="0" shrinkToFit="0" vertical="center" wrapText="0"/>
    </xf>
    <xf borderId="4" fillId="1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readingOrder="0" vertical="center"/>
    </xf>
    <xf borderId="4" fillId="0" fontId="17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readingOrder="0" shrinkToFit="0" vertical="center" wrapText="1"/>
    </xf>
    <xf borderId="4" fillId="11" fontId="16" numFmtId="0" xfId="0" applyAlignment="1" applyBorder="1" applyFill="1" applyFont="1">
      <alignment readingOrder="0" shrinkToFit="0" vertical="center" wrapText="0"/>
    </xf>
    <xf borderId="4" fillId="11" fontId="16" numFmtId="0" xfId="0" applyAlignment="1" applyBorder="1" applyFont="1">
      <alignment horizontal="center" readingOrder="0" vertical="center"/>
    </xf>
    <xf borderId="4" fillId="12" fontId="18" numFmtId="0" xfId="0" applyAlignment="1" applyBorder="1" applyFill="1" applyFont="1">
      <alignment horizontal="center" readingOrder="0" vertical="center"/>
    </xf>
    <xf borderId="4" fillId="3" fontId="16" numFmtId="0" xfId="0" applyAlignment="1" applyBorder="1" applyFont="1">
      <alignment readingOrder="0" shrinkToFit="0" vertical="center" wrapText="0"/>
    </xf>
    <xf borderId="4" fillId="3" fontId="16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readingOrder="0" shrinkToFit="0" vertical="center" wrapText="1"/>
    </xf>
    <xf borderId="4" fillId="13" fontId="16" numFmtId="0" xfId="0" applyAlignment="1" applyBorder="1" applyFill="1" applyFont="1">
      <alignment readingOrder="0" shrinkToFit="0" vertical="center" wrapText="0"/>
    </xf>
    <xf borderId="4" fillId="13" fontId="16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vertical="bottom"/>
    </xf>
    <xf borderId="0" fillId="14" fontId="24" numFmtId="0" xfId="0" applyAlignment="1" applyFill="1" applyFont="1">
      <alignment horizontal="center" readingOrder="0" vertical="center"/>
    </xf>
    <xf borderId="8" fillId="8" fontId="25" numFmtId="0" xfId="0" applyAlignment="1" applyBorder="1" applyFont="1">
      <alignment horizontal="center" readingOrder="0" vertical="center"/>
    </xf>
    <xf borderId="8" fillId="8" fontId="26" numFmtId="0" xfId="0" applyAlignment="1" applyBorder="1" applyFont="1">
      <alignment horizontal="center" readingOrder="0" vertical="center"/>
    </xf>
    <xf borderId="9" fillId="8" fontId="25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8" fontId="26" numFmtId="0" xfId="0" applyAlignment="1" applyBorder="1" applyFont="1">
      <alignment horizontal="center" readingOrder="0" vertical="center"/>
    </xf>
    <xf borderId="13" fillId="9" fontId="26" numFmtId="0" xfId="0" applyAlignment="1" applyBorder="1" applyFont="1">
      <alignment horizontal="center" readingOrder="0" vertical="center"/>
    </xf>
    <xf borderId="13" fillId="10" fontId="16" numFmtId="0" xfId="0" applyAlignment="1" applyBorder="1" applyFont="1">
      <alignment horizontal="center" readingOrder="0" vertical="center"/>
    </xf>
    <xf borderId="13" fillId="0" fontId="16" numFmtId="0" xfId="0" applyAlignment="1" applyBorder="1" applyFont="1">
      <alignment readingOrder="0" vertical="center"/>
    </xf>
    <xf borderId="13" fillId="0" fontId="17" numFmtId="0" xfId="0" applyAlignment="1" applyBorder="1" applyFont="1">
      <alignment readingOrder="0" shrinkToFit="0" vertical="center" wrapText="1"/>
    </xf>
    <xf borderId="7" fillId="0" fontId="18" numFmtId="0" xfId="0" applyAlignment="1" applyBorder="1" applyFont="1">
      <alignment horizontal="center" vertical="center"/>
    </xf>
    <xf borderId="13" fillId="0" fontId="19" numFmtId="0" xfId="0" applyAlignment="1" applyBorder="1" applyFont="1">
      <alignment readingOrder="0" shrinkToFit="0" vertical="center" wrapText="1"/>
    </xf>
    <xf borderId="13" fillId="0" fontId="20" numFmtId="0" xfId="0" applyAlignment="1" applyBorder="1" applyFont="1">
      <alignment readingOrder="0" shrinkToFit="0" vertical="center" wrapText="1"/>
    </xf>
    <xf borderId="13" fillId="11" fontId="16" numFmtId="0" xfId="0" applyAlignment="1" applyBorder="1" applyFont="1">
      <alignment horizontal="center" readingOrder="0" vertical="center"/>
    </xf>
    <xf borderId="13" fillId="3" fontId="16" numFmtId="0" xfId="0" applyAlignment="1" applyBorder="1" applyFont="1">
      <alignment horizontal="center" readingOrder="0" vertical="center"/>
    </xf>
    <xf borderId="13" fillId="0" fontId="21" numFmtId="0" xfId="0" applyAlignment="1" applyBorder="1" applyFont="1">
      <alignment readingOrder="0" shrinkToFit="0" vertical="center" wrapText="1"/>
    </xf>
    <xf borderId="13" fillId="13" fontId="16" numFmtId="0" xfId="0" applyAlignment="1" applyBorder="1" applyFont="1">
      <alignment horizontal="center" readingOrder="0" vertical="center"/>
    </xf>
    <xf borderId="13" fillId="0" fontId="22" numFmtId="0" xfId="0" applyAlignment="1" applyBorder="1" applyFont="1">
      <alignment readingOrder="0" shrinkToFit="0" vertical="center" wrapText="1"/>
    </xf>
    <xf borderId="0" fillId="0" fontId="27" numFmtId="0" xfId="0" applyAlignment="1" applyFont="1">
      <alignment vertical="top"/>
    </xf>
    <xf borderId="0" fillId="0" fontId="27" numFmtId="0" xfId="0" applyAlignment="1" applyFont="1">
      <alignment vertical="bottom"/>
    </xf>
    <xf borderId="0" fillId="15" fontId="28" numFmtId="0" xfId="0" applyAlignment="1" applyFill="1" applyFont="1">
      <alignment readingOrder="0" vertical="bottom"/>
    </xf>
    <xf borderId="8" fillId="8" fontId="29" numFmtId="0" xfId="0" applyAlignment="1" applyBorder="1" applyFont="1">
      <alignment horizontal="center" vertical="center"/>
    </xf>
    <xf borderId="8" fillId="8" fontId="29" numFmtId="0" xfId="0" applyAlignment="1" applyBorder="1" applyFont="1">
      <alignment horizontal="center" shrinkToFit="0" vertical="center" wrapText="1"/>
    </xf>
    <xf borderId="9" fillId="8" fontId="25" numFmtId="0" xfId="0" applyAlignment="1" applyBorder="1" applyFont="1">
      <alignment horizontal="center" vertical="center"/>
    </xf>
    <xf borderId="13" fillId="2" fontId="14" numFmtId="0" xfId="0" applyAlignment="1" applyBorder="1" applyFont="1">
      <alignment horizontal="center" vertical="center"/>
    </xf>
    <xf borderId="13" fillId="8" fontId="14" numFmtId="0" xfId="0" applyAlignment="1" applyBorder="1" applyFont="1">
      <alignment horizontal="center" vertical="center"/>
    </xf>
    <xf borderId="7" fillId="16" fontId="5" numFmtId="0" xfId="0" applyBorder="1" applyFill="1" applyFont="1"/>
    <xf borderId="7" fillId="0" fontId="7" numFmtId="0" xfId="0" applyBorder="1" applyFont="1"/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4" fillId="16" fontId="5" numFmtId="0" xfId="0" applyBorder="1" applyFont="1"/>
    <xf borderId="4" fillId="0" fontId="30" numFmtId="0" xfId="0" applyBorder="1" applyFont="1"/>
    <xf borderId="4" fillId="5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30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0" xfId="0" applyAlignment="1" applyBorder="1" applyFont="1">
      <alignment shrinkToFit="0" vertical="center" wrapText="1"/>
    </xf>
    <xf quotePrefix="1" borderId="0" fillId="0" fontId="5" numFmtId="0" xfId="0" applyFont="1"/>
    <xf borderId="0" fillId="0" fontId="1" numFmtId="0" xfId="0" applyAlignment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31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readingOrder="0" shrinkToFit="0" vertical="center" wrapText="0"/>
    </xf>
    <xf borderId="0" fillId="16" fontId="23" numFmtId="0" xfId="0" applyAlignment="1" applyFont="1">
      <alignment readingOrder="0" shrinkToFit="0" vertical="center" wrapText="0"/>
    </xf>
    <xf borderId="0" fillId="16" fontId="23" numFmtId="0" xfId="0" applyAlignment="1" applyFont="1">
      <alignment readingOrder="0" shrinkToFit="0" vertical="center" wrapText="0"/>
    </xf>
    <xf borderId="0" fillId="16" fontId="33" numFmtId="0" xfId="0" applyAlignment="1" applyFont="1">
      <alignment readingOrder="0" shrinkToFit="0" vertical="center" wrapText="1"/>
    </xf>
    <xf borderId="0" fillId="16" fontId="23" numFmtId="0" xfId="0" applyAlignment="1" applyFont="1">
      <alignment readingOrder="0" shrinkToFit="0" vertical="center" wrapText="1"/>
    </xf>
    <xf borderId="4" fillId="16" fontId="5" numFmtId="0" xfId="0" applyAlignment="1" applyBorder="1" applyFont="1">
      <alignment readingOrder="0" shrinkToFit="0" vertical="center" wrapText="0"/>
    </xf>
    <xf borderId="0" fillId="16" fontId="33" numFmtId="0" xfId="0" applyAlignment="1" applyFont="1">
      <alignment readingOrder="0" shrinkToFit="0" vertical="center" wrapText="0"/>
    </xf>
    <xf borderId="0" fillId="16" fontId="33" numFmtId="0" xfId="0" applyAlignment="1" applyFont="1">
      <alignment readingOrder="0" shrinkToFit="0" vertical="center" wrapText="0"/>
    </xf>
    <xf borderId="0" fillId="16" fontId="34" numFmtId="0" xfId="0" applyAlignment="1" applyFont="1">
      <alignment readingOrder="0" shrinkToFit="0" vertical="center" wrapText="0"/>
    </xf>
    <xf borderId="0" fillId="16" fontId="34" numFmtId="0" xfId="0" applyAlignment="1" applyFont="1">
      <alignment readingOrder="0" shrinkToFit="0" vertical="center" wrapText="0"/>
    </xf>
    <xf borderId="0" fillId="16" fontId="35" numFmtId="0" xfId="0" applyAlignment="1" applyFont="1">
      <alignment shrinkToFit="0" vertical="center" wrapText="0"/>
    </xf>
    <xf borderId="0" fillId="16" fontId="36" numFmtId="0" xfId="0" applyAlignment="1" applyFont="1">
      <alignment readingOrder="0" shrinkToFit="0" vertical="center" wrapText="1"/>
    </xf>
    <xf borderId="0" fillId="16" fontId="37" numFmtId="0" xfId="0" applyAlignment="1" applyFont="1">
      <alignment readingOrder="0" shrinkToFit="0" vertical="center" wrapText="1"/>
    </xf>
    <xf borderId="4" fillId="16" fontId="5" numFmtId="0" xfId="0" applyAlignment="1" applyBorder="1" applyFont="1">
      <alignment shrinkToFit="0" vertical="center" wrapText="0"/>
    </xf>
    <xf borderId="14" fillId="16" fontId="34" numFmtId="0" xfId="0" applyAlignment="1" applyBorder="1" applyFont="1">
      <alignment readingOrder="0" shrinkToFit="0" vertical="center" wrapText="0"/>
    </xf>
    <xf borderId="15" fillId="16" fontId="35" numFmtId="0" xfId="0" applyAlignment="1" applyBorder="1" applyFont="1">
      <alignment shrinkToFit="0" vertical="center" wrapText="0"/>
    </xf>
    <xf borderId="15" fillId="16" fontId="36" numFmtId="0" xfId="0" applyAlignment="1" applyBorder="1" applyFont="1">
      <alignment readingOrder="0" shrinkToFit="0" vertical="center" wrapText="1"/>
    </xf>
    <xf borderId="15" fillId="16" fontId="37" numFmtId="0" xfId="0" applyAlignment="1" applyBorder="1" applyFont="1">
      <alignment readingOrder="0" shrinkToFit="0" vertical="center" wrapText="1"/>
    </xf>
    <xf borderId="16" fillId="16" fontId="35" numFmtId="0" xfId="0" applyAlignment="1" applyBorder="1" applyFont="1">
      <alignment shrinkToFit="0" vertical="center" wrapText="0"/>
    </xf>
    <xf borderId="0" fillId="17" fontId="23" numFmtId="0" xfId="0" applyAlignment="1" applyFill="1" applyFont="1">
      <alignment readingOrder="0" shrinkToFit="0" vertical="center" wrapText="0"/>
    </xf>
    <xf borderId="0" fillId="17" fontId="23" numFmtId="0" xfId="0" applyAlignment="1" applyFont="1">
      <alignment readingOrder="0" shrinkToFit="0" vertical="center" wrapText="0"/>
    </xf>
    <xf borderId="0" fillId="17" fontId="23" numFmtId="0" xfId="0" applyAlignment="1" applyFont="1">
      <alignment readingOrder="0" shrinkToFit="0" vertical="center" wrapText="1"/>
    </xf>
    <xf borderId="0" fillId="17" fontId="33" numFmtId="0" xfId="0" applyAlignment="1" applyFont="1">
      <alignment readingOrder="0" shrinkToFit="0" vertical="center" wrapText="1"/>
    </xf>
    <xf borderId="4" fillId="17" fontId="5" numFmtId="0" xfId="0" applyAlignment="1" applyBorder="1" applyFont="1">
      <alignment readingOrder="0" shrinkToFit="0" vertical="center" wrapText="0"/>
    </xf>
    <xf borderId="0" fillId="18" fontId="23" numFmtId="0" xfId="0" applyAlignment="1" applyFill="1" applyFont="1">
      <alignment readingOrder="0" shrinkToFit="0" vertical="center" wrapText="0"/>
    </xf>
    <xf borderId="0" fillId="18" fontId="23" numFmtId="0" xfId="0" applyAlignment="1" applyFont="1">
      <alignment readingOrder="0" shrinkToFit="0" vertical="center" wrapText="0"/>
    </xf>
    <xf borderId="0" fillId="18" fontId="23" numFmtId="0" xfId="0" applyAlignment="1" applyFont="1">
      <alignment readingOrder="0" shrinkToFit="0" vertical="center" wrapText="1"/>
    </xf>
    <xf borderId="0" fillId="18" fontId="33" numFmtId="0" xfId="0" applyAlignment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0"/>
    </xf>
    <xf borderId="0" fillId="18" fontId="33" numFmtId="0" xfId="0" applyAlignment="1" applyFont="1">
      <alignment readingOrder="0" shrinkToFit="0" vertical="center" wrapText="0"/>
    </xf>
    <xf borderId="0" fillId="18" fontId="33" numFmtId="0" xfId="0" applyAlignment="1" applyFont="1">
      <alignment readingOrder="0" shrinkToFit="0" vertical="center" wrapText="0"/>
    </xf>
    <xf borderId="0" fillId="18" fontId="23" numFmtId="0" xfId="0" applyFont="1"/>
    <xf borderId="17" fillId="8" fontId="38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0" fillId="0" fontId="39" numFmtId="0" xfId="0" applyAlignment="1" applyFont="1">
      <alignment horizontal="center" readingOrder="0" vertical="center"/>
    </xf>
    <xf borderId="17" fillId="8" fontId="40" numFmtId="0" xfId="0" applyAlignment="1" applyBorder="1" applyFont="1">
      <alignment horizontal="center" readingOrder="0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41" numFmtId="0" xfId="0" applyFont="1"/>
    <xf borderId="22" fillId="19" fontId="41" numFmtId="0" xfId="0" applyAlignment="1" applyBorder="1" applyFill="1" applyFont="1">
      <alignment horizontal="center" readingOrder="0" vertical="center"/>
    </xf>
    <xf borderId="7" fillId="19" fontId="41" numFmtId="0" xfId="0" applyAlignment="1" applyBorder="1" applyFont="1">
      <alignment horizontal="center" readingOrder="0" vertical="center"/>
    </xf>
    <xf borderId="7" fillId="19" fontId="4" numFmtId="0" xfId="0" applyAlignment="1" applyBorder="1" applyFont="1">
      <alignment horizontal="center" readingOrder="0" shrinkToFit="0" vertical="center" wrapText="0"/>
    </xf>
    <xf borderId="0" fillId="0" fontId="42" numFmtId="0" xfId="0" applyAlignment="1" applyFont="1">
      <alignment horizontal="center" readingOrder="0" vertical="center"/>
    </xf>
    <xf borderId="4" fillId="19" fontId="42" numFmtId="0" xfId="0" applyAlignment="1" applyBorder="1" applyFont="1">
      <alignment horizontal="center" readingOrder="0" vertical="center"/>
    </xf>
    <xf borderId="4" fillId="20" fontId="42" numFmtId="0" xfId="0" applyAlignment="1" applyBorder="1" applyFill="1" applyFont="1">
      <alignment horizontal="center" readingOrder="0" vertical="center"/>
    </xf>
    <xf borderId="5" fillId="19" fontId="41" numFmtId="0" xfId="0" applyAlignment="1" applyBorder="1" applyFont="1">
      <alignment horizontal="center" readingOrder="0" shrinkToFit="0" vertical="center" wrapText="1"/>
    </xf>
    <xf borderId="4" fillId="18" fontId="4" numFmtId="0" xfId="0" applyAlignment="1" applyBorder="1" applyFont="1">
      <alignment readingOrder="0" vertical="center"/>
    </xf>
    <xf borderId="4" fillId="18" fontId="4" numFmtId="0" xfId="0" applyAlignment="1" applyBorder="1" applyFont="1">
      <alignment readingOrder="0" shrinkToFit="0" vertical="center" wrapText="1"/>
    </xf>
    <xf borderId="4" fillId="18" fontId="43" numFmtId="0" xfId="0" applyAlignment="1" applyBorder="1" applyFont="1">
      <alignment readingOrder="0" shrinkToFit="0" vertical="center" wrapText="1"/>
    </xf>
    <xf borderId="4" fillId="0" fontId="44" numFmtId="0" xfId="0" applyAlignment="1" applyBorder="1" applyFont="1">
      <alignment readingOrder="0" vertical="center"/>
    </xf>
    <xf borderId="4" fillId="0" fontId="45" numFmtId="0" xfId="0" applyAlignment="1" applyBorder="1" applyFont="1">
      <alignment horizontal="center" readingOrder="0" vertical="center"/>
    </xf>
    <xf borderId="4" fillId="0" fontId="46" numFmtId="0" xfId="0" applyAlignment="1" applyBorder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4" fillId="0" fontId="43" numFmtId="0" xfId="0" applyAlignment="1" applyBorder="1" applyFont="1">
      <alignment horizontal="center" readingOrder="0" vertical="center"/>
    </xf>
    <xf borderId="4" fillId="0" fontId="45" numFmtId="0" xfId="0" applyBorder="1" applyFont="1"/>
    <xf borderId="0" fillId="0" fontId="43" numFmtId="164" xfId="0" applyAlignment="1" applyFont="1" applyNumberFormat="1">
      <alignment horizontal="center" readingOrder="0" vertical="center"/>
    </xf>
    <xf borderId="4" fillId="0" fontId="43" numFmtId="164" xfId="0" applyAlignment="1" applyBorder="1" applyFont="1" applyNumberForma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4" fillId="20" fontId="41" numFmtId="0" xfId="0" applyAlignment="1" applyBorder="1" applyFont="1">
      <alignment horizontal="center" readingOrder="0" vertical="center"/>
    </xf>
    <xf borderId="4" fillId="20" fontId="4" numFmtId="0" xfId="0" applyAlignment="1" applyBorder="1" applyFont="1">
      <alignment horizontal="center" readingOrder="0" shrinkToFit="0" vertical="center" wrapText="0"/>
    </xf>
    <xf borderId="5" fillId="20" fontId="41" numFmtId="0" xfId="0" applyAlignment="1" applyBorder="1" applyFont="1">
      <alignment horizontal="center" readingOrder="0" vertical="center"/>
    </xf>
    <xf borderId="4" fillId="18" fontId="18" numFmtId="0" xfId="0" applyAlignment="1" applyBorder="1" applyFont="1">
      <alignment vertical="center"/>
    </xf>
    <xf borderId="4" fillId="18" fontId="4" numFmtId="0" xfId="0" applyAlignment="1" applyBorder="1" applyFont="1">
      <alignment shrinkToFit="0" vertical="center" wrapText="1"/>
    </xf>
    <xf borderId="4" fillId="18" fontId="43" numFmtId="0" xfId="0" applyAlignment="1" applyBorder="1" applyFont="1">
      <alignment shrinkToFit="0" vertical="center" wrapText="1"/>
    </xf>
    <xf borderId="4" fillId="18" fontId="19" numFmtId="0" xfId="0" applyAlignment="1" applyBorder="1" applyFont="1">
      <alignment shrinkToFit="0" vertical="center" wrapText="1"/>
    </xf>
    <xf borderId="4" fillId="18" fontId="20" numFmtId="0" xfId="0" applyAlignment="1" applyBorder="1" applyFont="1">
      <alignment shrinkToFit="0" vertical="center" wrapText="1"/>
    </xf>
    <xf borderId="0" fillId="0" fontId="45" numFmtId="0" xfId="0" applyAlignment="1" applyFont="1">
      <alignment vertical="center"/>
    </xf>
    <xf borderId="4" fillId="19" fontId="41" numFmtId="0" xfId="0" applyAlignment="1" applyBorder="1" applyFont="1">
      <alignment horizontal="center" readingOrder="0" vertical="center"/>
    </xf>
    <xf borderId="4" fillId="19" fontId="4" numFmtId="0" xfId="0" applyAlignment="1" applyBorder="1" applyFont="1">
      <alignment horizontal="center" readingOrder="0" shrinkToFit="0" vertical="center" wrapText="0"/>
    </xf>
    <xf borderId="5" fillId="19" fontId="4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1"/>
    </xf>
    <xf borderId="7" fillId="0" fontId="18" numFmtId="0" xfId="0" applyAlignment="1" applyBorder="1" applyFont="1">
      <alignment shrinkToFit="0" vertical="center" wrapText="0"/>
    </xf>
    <xf borderId="1" fillId="5" fontId="47" numFmtId="0" xfId="0" applyAlignment="1" applyBorder="1" applyFont="1">
      <alignment horizontal="center" vertical="center"/>
    </xf>
    <xf borderId="4" fillId="21" fontId="5" numFmtId="0" xfId="0" applyAlignment="1" applyBorder="1" applyFill="1" applyFont="1">
      <alignment horizontal="center" vertical="center"/>
    </xf>
    <xf borderId="4" fillId="21" fontId="5" numFmtId="0" xfId="0" applyAlignment="1" applyBorder="1" applyFont="1">
      <alignment vertical="center"/>
    </xf>
    <xf borderId="5" fillId="0" fontId="5" numFmtId="0" xfId="0" applyAlignment="1" applyBorder="1" applyFont="1">
      <alignment horizontal="left" readingOrder="0" shrinkToFit="0" vertical="center" wrapText="1"/>
    </xf>
    <xf borderId="4" fillId="22" fontId="5" numFmtId="0" xfId="0" applyAlignment="1" applyBorder="1" applyFill="1" applyFont="1">
      <alignment horizontal="center" vertical="center"/>
    </xf>
    <xf borderId="4" fillId="22" fontId="5" numFmtId="0" xfId="0" applyAlignment="1" applyBorder="1" applyFont="1">
      <alignment vertical="center"/>
    </xf>
    <xf borderId="5" fillId="0" fontId="5" numFmtId="0" xfId="0" applyAlignment="1" applyBorder="1" applyFont="1">
      <alignment readingOrder="0" shrinkToFit="0" wrapText="1"/>
    </xf>
    <xf borderId="4" fillId="23" fontId="5" numFmtId="0" xfId="0" applyAlignment="1" applyBorder="1" applyFill="1" applyFont="1">
      <alignment horizontal="center" vertical="center"/>
    </xf>
    <xf borderId="4" fillId="23" fontId="5" numFmtId="0" xfId="0" applyAlignment="1" applyBorder="1" applyFont="1">
      <alignment vertical="center"/>
    </xf>
    <xf borderId="4" fillId="13" fontId="5" numFmtId="0" xfId="0" applyAlignment="1" applyBorder="1" applyFont="1">
      <alignment horizontal="center" vertical="center"/>
    </xf>
    <xf borderId="4" fillId="13" fontId="5" numFmtId="0" xfId="0" applyAlignment="1" applyBorder="1" applyFont="1">
      <alignment vertical="center"/>
    </xf>
    <xf borderId="5" fillId="0" fontId="5" numFmtId="0" xfId="0" applyAlignment="1" applyBorder="1" applyFont="1">
      <alignment readingOrder="0"/>
    </xf>
    <xf borderId="0" fillId="0" fontId="48" numFmtId="0" xfId="0" applyFont="1"/>
    <xf borderId="0" fillId="0" fontId="49" numFmtId="0" xfId="0" applyAlignment="1" applyFont="1">
      <alignment horizontal="center" vertical="center"/>
    </xf>
    <xf borderId="0" fillId="18" fontId="50" numFmtId="0" xfId="0" applyAlignment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vertical="center"/>
    </xf>
    <xf borderId="4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shrinkToFit="0" vertical="center" wrapText="0"/>
    </xf>
    <xf borderId="4" fillId="21" fontId="5" numFmtId="0" xfId="0" applyAlignment="1" applyBorder="1" applyFont="1">
      <alignment shrinkToFit="0" vertical="center" wrapText="1"/>
    </xf>
    <xf borderId="4" fillId="0" fontId="30" numFmtId="0" xfId="0" applyAlignment="1" applyBorder="1" applyFont="1">
      <alignment horizontal="left" shrinkToFit="0" vertical="center" wrapText="0"/>
    </xf>
    <xf borderId="4" fillId="0" fontId="30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shrinkToFit="0" vertical="center" wrapText="0"/>
    </xf>
    <xf borderId="4" fillId="0" fontId="10" numFmtId="0" xfId="0" applyAlignment="1" applyBorder="1" applyFont="1">
      <alignment horizontal="left" shrinkToFit="0" vertical="center" wrapText="0"/>
    </xf>
    <xf borderId="4" fillId="0" fontId="10" numFmtId="0" xfId="0" applyAlignment="1" applyBorder="1" applyFont="1">
      <alignment shrinkToFit="0" vertical="center" wrapText="0"/>
    </xf>
    <xf borderId="0" fillId="0" fontId="45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52" numFmtId="0" xfId="0" applyAlignment="1" applyFont="1">
      <alignment shrinkToFit="0" vertical="bottom" wrapText="0"/>
    </xf>
    <xf borderId="0" fillId="0" fontId="52" numFmtId="0" xfId="0" applyAlignment="1" applyFont="1">
      <alignment shrinkToFit="0" vertical="bottom" wrapText="0"/>
    </xf>
  </cellXfs>
  <cellStyles count="1">
    <cellStyle xfId="0" name="Normal" builtinId="0"/>
  </cellStyles>
  <dxfs count="11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</dxfs>
  <tableStyles count="8">
    <tableStyle count="4" pivot="0" name="Roadmap por Squad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Roadmap por Squad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Roadmap por Squad-style 3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Roadmap por Squad-style 4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OLD_Roadmap por Squad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ANUAL - Roadmap por Squads-style">
      <tableStyleElement dxfId="9" type="headerRow"/>
      <tableStyleElement dxfId="6" type="firstRowStripe"/>
      <tableStyleElement dxfId="7" type="secondRowStripe"/>
      <tableStyleElement dxfId="8" size="0" type="wholeTable"/>
    </tableStyle>
    <tableStyle count="4" pivot="0" name="Entregue x Esperado TMMi-style">
      <tableStyleElement dxfId="10" type="headerRow"/>
      <tableStyleElement dxfId="6" type="firstRowStripe"/>
      <tableStyleElement dxfId="7" type="secondRowStripe"/>
      <tableStyleElement dxfId="8" size="0" type="wholeTable"/>
    </tableStyle>
    <tableStyle count="4" pivot="0" name="Critérios TMMi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J12" displayName="Squad_Delivery_Roadmap" name="Squad_Delivery_Roadmap" id="1">
  <tableColumns count="9">
    <tableColumn name="Trimestre" id="1"/>
    <tableColumn name="Fase" id="2"/>
    <tableColumn name="Squad" id="3"/>
    <tableColumn name="Entrega" id="4"/>
    <tableColumn name="TMMi (Nível – Área)" id="5"/>
    <tableColumn name="Envolvidos" id="6"/>
    <tableColumn name="Evidência / Critério de pronto" id="7"/>
    <tableColumn name="Status" id="8"/>
    <tableColumn name="Responsável" id="9"/>
  </tableColumns>
  <tableStyleInfo name="Roadmap por Squad-style" showColumnStripes="0" showFirstColumn="1" showLastColumn="1" showRowStripes="1"/>
</table>
</file>

<file path=xl/tables/table2.xml><?xml version="1.0" encoding="utf-8"?>
<table xmlns="http://schemas.openxmlformats.org/spreadsheetml/2006/main" ref="B15:J20" displayName="Tabela_1" name="Tabela_1" id="2">
  <tableColumns count="9">
    <tableColumn name="Trimestre" id="1"/>
    <tableColumn name="Fase" id="2"/>
    <tableColumn name="Squad" id="3"/>
    <tableColumn name="Entrega" id="4"/>
    <tableColumn name="TMMi" id="5"/>
    <tableColumn name="Envolvidos" id="6"/>
    <tableColumn name="Evidência" id="7"/>
    <tableColumn name="Status" id="8"/>
    <tableColumn name="Responsável" id="9"/>
  </tableColumns>
  <tableStyleInfo name="Roadmap por Squad-style 2" showColumnStripes="0" showFirstColumn="1" showLastColumn="1" showRowStripes="1"/>
</table>
</file>

<file path=xl/tables/table3.xml><?xml version="1.0" encoding="utf-8"?>
<table xmlns="http://schemas.openxmlformats.org/spreadsheetml/2006/main" ref="B23:J27" displayName="Tabela_2" name="Tabela_2" id="3">
  <tableColumns count="9">
    <tableColumn name="Trimestre" id="1"/>
    <tableColumn name="Fase" id="2"/>
    <tableColumn name="Squad" id="3"/>
    <tableColumn name="Entrega" id="4"/>
    <tableColumn name="TMMi" id="5"/>
    <tableColumn name="Envolvidos" id="6"/>
    <tableColumn name="Evidência" id="7"/>
    <tableColumn name="Status" id="8"/>
    <tableColumn name="Responsável" id="9"/>
  </tableColumns>
  <tableStyleInfo name="Roadmap por Squad-style 3" showColumnStripes="0" showFirstColumn="1" showLastColumn="1" showRowStripes="1"/>
</table>
</file>

<file path=xl/tables/table4.xml><?xml version="1.0" encoding="utf-8"?>
<table xmlns="http://schemas.openxmlformats.org/spreadsheetml/2006/main" ref="B30:J34" displayName="Tabela_3" name="Tabela_3" id="4">
  <tableColumns count="9">
    <tableColumn name="Trimestre" id="1"/>
    <tableColumn name="Fase" id="2"/>
    <tableColumn name="Squad" id="3"/>
    <tableColumn name="Entrega" id="4"/>
    <tableColumn name="TMMi" id="5"/>
    <tableColumn name="Envolvidos" id="6"/>
    <tableColumn name="Evidência" id="7"/>
    <tableColumn name="Status" id="8"/>
    <tableColumn name="Responsável" id="9"/>
  </tableColumns>
  <tableStyleInfo name="Roadmap por Squad-style 4" showColumnStripes="0" showFirstColumn="1" showLastColumn="1" showRowStripes="1"/>
</table>
</file>

<file path=xl/tables/table5.xml><?xml version="1.0" encoding="utf-8"?>
<table xmlns="http://schemas.openxmlformats.org/spreadsheetml/2006/main" ref="A2:I26" displayName="QA_Entregas_Status" name="QA_Entregas_Status" id="5">
  <tableColumns count="9">
    <tableColumn name="ID Melhoria" id="1"/>
    <tableColumn name="Trimestre" id="2"/>
    <tableColumn name="Squad" id="3"/>
    <tableColumn name="Detalhe da Entrega" id="4"/>
    <tableColumn name="TMMi (Nível – Área)" id="5"/>
    <tableColumn name="Envolvidos" id="6"/>
    <tableColumn name="Evidência / Critério de pronto" id="7"/>
    <tableColumn name="Status" id="8"/>
    <tableColumn name="Responsável" id="9"/>
  </tableColumns>
  <tableStyleInfo name="OLD_Roadmap por Squads-style" showColumnStripes="0" showFirstColumn="1" showLastColumn="1" showRowStripes="1"/>
</table>
</file>

<file path=xl/tables/table6.xml><?xml version="1.0" encoding="utf-8"?>
<table xmlns="http://schemas.openxmlformats.org/spreadsheetml/2006/main" ref="A1:J25" displayName="Squad_Road_Map" name="Squad_Road_Map" id="6">
  <tableColumns count="10">
    <tableColumn name="ID Melhoria" id="1"/>
    <tableColumn name="Trimestre" id="2"/>
    <tableColumn name="Fase" id="3"/>
    <tableColumn name="Squad" id="4"/>
    <tableColumn name="Entrega" id="5"/>
    <tableColumn name="TMMi (Nível – Área)" id="6"/>
    <tableColumn name="Envolvidos" id="7"/>
    <tableColumn name="Evidência / DOR (Definition of Ready)" id="8"/>
    <tableColumn name="Status Geral" id="9"/>
    <tableColumn name="Responsável" id="10"/>
  </tableColumns>
  <tableStyleInfo name="ANUAL - Roadmap por Squads-style" showColumnStripes="0" showFirstColumn="1" showLastColumn="1" showRowStripes="1"/>
</table>
</file>

<file path=xl/tables/table7.xml><?xml version="1.0" encoding="utf-8"?>
<table xmlns="http://schemas.openxmlformats.org/spreadsheetml/2006/main" ref="B4:E22" displayName="TMMi_Fase_Status" name="TMMi_Fase_Status" id="7">
  <tableColumns count="4">
    <tableColumn name="Fase" id="1"/>
    <tableColumn name="Nível e Área de Processo" id="2"/>
    <tableColumn name="Entregue na TAG (observação)" id="3"/>
    <tableColumn name="Esperado pelo TMMi (gap)" id="4"/>
  </tableColumns>
  <tableStyleInfo name="Entregue x Esperado TMMi-style" showColumnStripes="0" showFirstColumn="1" showLastColumn="1" showRowStripes="1"/>
</table>
</file>

<file path=xl/tables/table8.xml><?xml version="1.0" encoding="utf-8"?>
<table xmlns="http://schemas.openxmlformats.org/spreadsheetml/2006/main" ref="A1:J115" displayName="TMMi_Critérios_Acompanhamento" name="TMMi_Critérios_Acompanhamento" id="8">
  <tableColumns count="10">
    <tableColumn name="ID MELHORIA" id="1"/>
    <tableColumn name="TRIMESTRE" id="2"/>
    <tableColumn name="SQUAD" id="3"/>
    <tableColumn name="ENTREGA" id="4"/>
    <tableColumn name="SUBCRITÉRIO" id="5"/>
    <tableColumn name="PESO" id="6"/>
    <tableColumn name="ATENDIDO" id="7"/>
    <tableColumn name="LINK DA EVIDÊNCIA" id="8"/>
    <tableColumn name="OBS" id="9"/>
    <tableColumn name="DATA" id="10"/>
  </tableColumns>
  <tableStyleInfo name="Critérios TMM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eqAn17nuWQCDpt2l2pjWuMRgXjn_qDjMpGpfsrgdl3M/edit?tab=t.0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mmi.org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21.63"/>
    <col customWidth="1" min="3" max="3" width="32.63"/>
    <col customWidth="1" min="4" max="4" width="15.0"/>
    <col customWidth="1" min="5" max="5" width="45.38"/>
  </cols>
  <sheetData>
    <row r="1" ht="15.75" customHeight="1">
      <c r="A1" s="1"/>
      <c r="B1" s="1"/>
      <c r="C1" s="1"/>
      <c r="D1" s="1"/>
      <c r="E1" s="1"/>
    </row>
    <row r="2" ht="47.25" customHeight="1">
      <c r="A2" s="1"/>
      <c r="B2" s="2" t="s">
        <v>0</v>
      </c>
      <c r="C2" s="3"/>
      <c r="D2" s="3"/>
      <c r="E2" s="4"/>
    </row>
    <row r="3" ht="33.0" customHeight="1">
      <c r="A3" s="1"/>
      <c r="B3" s="5" t="s">
        <v>1</v>
      </c>
      <c r="C3" s="5" t="s">
        <v>2</v>
      </c>
      <c r="D3" s="5" t="s">
        <v>3</v>
      </c>
      <c r="E3" s="5" t="s">
        <v>4</v>
      </c>
    </row>
    <row r="4" ht="15.75" customHeight="1">
      <c r="A4" s="6"/>
      <c r="B4" s="7" t="s">
        <v>5</v>
      </c>
      <c r="C4" s="8" t="s">
        <v>6</v>
      </c>
      <c r="D4" s="9" t="s">
        <v>7</v>
      </c>
      <c r="E4" s="10" t="s">
        <v>8</v>
      </c>
    </row>
    <row r="5" ht="15.75" customHeight="1">
      <c r="A5" s="6"/>
      <c r="B5" s="11"/>
      <c r="C5" s="8" t="s">
        <v>9</v>
      </c>
      <c r="D5" s="12" t="s">
        <v>10</v>
      </c>
      <c r="E5" s="10" t="s">
        <v>11</v>
      </c>
    </row>
    <row r="6" ht="15.75" customHeight="1">
      <c r="A6" s="6"/>
      <c r="B6" s="11"/>
      <c r="C6" s="8" t="s">
        <v>12</v>
      </c>
      <c r="D6" s="12" t="s">
        <v>10</v>
      </c>
      <c r="E6" s="10" t="s">
        <v>13</v>
      </c>
    </row>
    <row r="7" ht="15.75" customHeight="1">
      <c r="A7" s="6"/>
      <c r="B7" s="11"/>
      <c r="C7" s="8" t="s">
        <v>14</v>
      </c>
      <c r="D7" s="12" t="s">
        <v>10</v>
      </c>
      <c r="E7" s="10" t="s">
        <v>15</v>
      </c>
    </row>
    <row r="8" ht="15.75" customHeight="1">
      <c r="A8" s="6"/>
      <c r="B8" s="11"/>
      <c r="C8" s="8" t="s">
        <v>16</v>
      </c>
      <c r="D8" s="12" t="s">
        <v>10</v>
      </c>
      <c r="E8" s="10" t="s">
        <v>17</v>
      </c>
    </row>
    <row r="9" ht="15.75" customHeight="1">
      <c r="A9" s="6"/>
      <c r="B9" s="13"/>
      <c r="C9" s="8" t="s">
        <v>18</v>
      </c>
      <c r="D9" s="12" t="s">
        <v>10</v>
      </c>
      <c r="E9" s="10" t="s">
        <v>19</v>
      </c>
    </row>
    <row r="10" ht="15.75" customHeight="1">
      <c r="A10" s="6"/>
      <c r="B10" s="14" t="s">
        <v>20</v>
      </c>
      <c r="C10" s="15" t="s">
        <v>21</v>
      </c>
      <c r="D10" s="16" t="s">
        <v>22</v>
      </c>
      <c r="E10" s="10" t="s">
        <v>23</v>
      </c>
    </row>
    <row r="11" ht="15.75" customHeight="1">
      <c r="A11" s="6"/>
      <c r="B11" s="11"/>
      <c r="C11" s="15" t="s">
        <v>24</v>
      </c>
      <c r="D11" s="16" t="s">
        <v>22</v>
      </c>
      <c r="E11" s="10" t="s">
        <v>25</v>
      </c>
    </row>
    <row r="12" ht="15.75" customHeight="1">
      <c r="A12" s="6"/>
      <c r="B12" s="11"/>
      <c r="C12" s="15" t="s">
        <v>26</v>
      </c>
      <c r="D12" s="16" t="s">
        <v>22</v>
      </c>
      <c r="E12" s="10" t="s">
        <v>27</v>
      </c>
    </row>
    <row r="13" ht="15.75" customHeight="1">
      <c r="A13" s="6"/>
      <c r="B13" s="11"/>
      <c r="C13" s="15" t="s">
        <v>28</v>
      </c>
      <c r="D13" s="16" t="s">
        <v>7</v>
      </c>
      <c r="E13" s="10" t="s">
        <v>29</v>
      </c>
    </row>
    <row r="14" ht="15.75" customHeight="1">
      <c r="A14" s="6"/>
      <c r="B14" s="13"/>
      <c r="C14" s="15" t="s">
        <v>30</v>
      </c>
      <c r="D14" s="12" t="s">
        <v>10</v>
      </c>
      <c r="E14" s="10" t="s">
        <v>31</v>
      </c>
    </row>
    <row r="15" ht="15.75" customHeight="1">
      <c r="B15" s="17" t="s">
        <v>32</v>
      </c>
      <c r="C15" s="18" t="s">
        <v>33</v>
      </c>
      <c r="D15" s="16" t="s">
        <v>22</v>
      </c>
      <c r="E15" s="19" t="s">
        <v>34</v>
      </c>
    </row>
    <row r="16" ht="15.75" customHeight="1">
      <c r="B16" s="11"/>
      <c r="C16" s="18" t="s">
        <v>35</v>
      </c>
      <c r="D16" s="16" t="s">
        <v>22</v>
      </c>
      <c r="E16" s="10"/>
    </row>
    <row r="17" ht="15.75" customHeight="1">
      <c r="B17" s="13"/>
      <c r="C17" s="18" t="s">
        <v>36</v>
      </c>
      <c r="D17" s="16" t="s">
        <v>37</v>
      </c>
      <c r="E17" s="10"/>
    </row>
    <row r="18" ht="15.75" customHeight="1">
      <c r="B18" s="20" t="s">
        <v>38</v>
      </c>
      <c r="C18" s="21" t="s">
        <v>39</v>
      </c>
      <c r="D18" s="16" t="s">
        <v>37</v>
      </c>
      <c r="E18" s="10"/>
    </row>
    <row r="19" ht="15.75" customHeight="1">
      <c r="B19" s="11"/>
      <c r="C19" s="21" t="s">
        <v>40</v>
      </c>
      <c r="D19" s="16" t="s">
        <v>37</v>
      </c>
      <c r="E19" s="10"/>
    </row>
    <row r="20" ht="15.75" customHeight="1">
      <c r="B20" s="13"/>
      <c r="C20" s="21" t="s">
        <v>41</v>
      </c>
      <c r="D20" s="22" t="s">
        <v>37</v>
      </c>
      <c r="E20" s="10"/>
    </row>
  </sheetData>
  <mergeCells count="5">
    <mergeCell ref="B2:E2"/>
    <mergeCell ref="B4:B9"/>
    <mergeCell ref="B10:B14"/>
    <mergeCell ref="B15:B17"/>
    <mergeCell ref="B18:B20"/>
  </mergeCells>
  <dataValidations>
    <dataValidation type="list" allowBlank="1" showErrorMessage="1" sqref="D4:D20">
      <formula1>"Desenvolvendo,Adotado,Em Adoção,Planejado,Não Iniciado"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3" width="12.63"/>
    <col customWidth="1" min="4" max="4" width="23.5"/>
    <col customWidth="1" min="5" max="5" width="40.13"/>
    <col customWidth="1" min="6" max="6" width="18.38"/>
    <col customWidth="1" min="7" max="10" width="17.38"/>
    <col customWidth="1" min="11" max="11" width="17.75"/>
    <col customWidth="1" min="12" max="13" width="17.38"/>
  </cols>
  <sheetData>
    <row r="1" ht="15.75" customHeight="1">
      <c r="A1" s="23"/>
      <c r="B1" s="23"/>
      <c r="C1" s="23"/>
      <c r="D1" s="23"/>
      <c r="E1" s="23"/>
      <c r="F1" s="1"/>
      <c r="G1" s="1"/>
      <c r="H1" s="1"/>
      <c r="I1" s="1"/>
      <c r="J1" s="1"/>
      <c r="K1" s="1"/>
      <c r="L1" s="1"/>
      <c r="M1" s="6"/>
    </row>
    <row r="2" ht="42.75" customHeight="1">
      <c r="A2" s="24"/>
      <c r="B2" s="25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22.5" customHeight="1">
      <c r="A3" s="23"/>
      <c r="B3" s="26" t="s">
        <v>43</v>
      </c>
      <c r="C3" s="27" t="s">
        <v>44</v>
      </c>
      <c r="D3" s="28" t="s">
        <v>45</v>
      </c>
      <c r="E3" s="27" t="s">
        <v>46</v>
      </c>
      <c r="F3" s="28" t="s">
        <v>47</v>
      </c>
      <c r="G3" s="29" t="s">
        <v>48</v>
      </c>
      <c r="H3" s="3"/>
      <c r="I3" s="3"/>
      <c r="J3" s="4"/>
      <c r="K3" s="29" t="s">
        <v>49</v>
      </c>
      <c r="L3" s="3"/>
      <c r="M3" s="4"/>
    </row>
    <row r="4" ht="42.0" customHeight="1">
      <c r="A4" s="23"/>
      <c r="B4" s="13"/>
      <c r="C4" s="13"/>
      <c r="D4" s="13"/>
      <c r="E4" s="13"/>
      <c r="F4" s="13"/>
      <c r="G4" s="30" t="s">
        <v>50</v>
      </c>
      <c r="H4" s="31" t="s">
        <v>51</v>
      </c>
      <c r="I4" s="30" t="s">
        <v>52</v>
      </c>
      <c r="J4" s="31" t="s">
        <v>53</v>
      </c>
      <c r="K4" s="30" t="s">
        <v>54</v>
      </c>
      <c r="L4" s="31" t="s">
        <v>55</v>
      </c>
      <c r="M4" s="30" t="s">
        <v>56</v>
      </c>
    </row>
    <row r="5">
      <c r="A5" s="23"/>
      <c r="B5" s="32" t="s">
        <v>57</v>
      </c>
      <c r="C5" s="33" t="s">
        <v>58</v>
      </c>
      <c r="D5" s="34" t="s">
        <v>59</v>
      </c>
      <c r="E5" s="35" t="s">
        <v>60</v>
      </c>
      <c r="F5" s="34" t="s">
        <v>61</v>
      </c>
      <c r="G5" s="36" t="str">
        <f>'Score TMMi'!H8</f>
        <v>PLANEJADO</v>
      </c>
      <c r="H5" s="36" t="str">
        <f>'Score TMMi'!H21</f>
        <v>PLANEJADO</v>
      </c>
      <c r="I5" s="36" t="str">
        <f>'Score TMMi'!H34</f>
        <v>PLANEJADO</v>
      </c>
      <c r="J5" s="36" t="str">
        <f>'Score TMMi'!H47</f>
        <v>PLANEJADO</v>
      </c>
      <c r="K5" s="36" t="str">
        <f>'Score TMMi'!H60</f>
        <v>PLANEJADO</v>
      </c>
      <c r="L5" s="36" t="str">
        <f>'Score TMMi'!H73</f>
        <v>PLANEJADO</v>
      </c>
      <c r="M5" s="36" t="str">
        <f>'Score TMMi'!H86</f>
        <v>PLANEJADO</v>
      </c>
    </row>
    <row r="6" ht="25.5" customHeight="1">
      <c r="A6" s="23"/>
      <c r="B6" s="32" t="s">
        <v>62</v>
      </c>
      <c r="C6" s="33" t="s">
        <v>58</v>
      </c>
      <c r="D6" s="34" t="s">
        <v>59</v>
      </c>
      <c r="E6" s="37" t="s">
        <v>63</v>
      </c>
      <c r="F6" s="34" t="s">
        <v>64</v>
      </c>
      <c r="G6" s="36" t="str">
        <f>'Score TMMi'!H4</f>
        <v>DESENVOLVENDO</v>
      </c>
      <c r="H6" s="36" t="str">
        <f>'Score TMMi'!H4</f>
        <v>DESENVOLVENDO</v>
      </c>
      <c r="I6" s="36" t="str">
        <f>'Score TMMi'!H4</f>
        <v>DESENVOLVENDO</v>
      </c>
      <c r="J6" s="36" t="str">
        <f>'Score TMMi'!H4</f>
        <v>DESENVOLVENDO</v>
      </c>
      <c r="K6" s="36" t="str">
        <f>'Score TMMi'!H4</f>
        <v>DESENVOLVENDO</v>
      </c>
      <c r="L6" s="36" t="str">
        <f>'Score TMMi'!H4</f>
        <v>DESENVOLVENDO</v>
      </c>
      <c r="M6" s="36" t="str">
        <f>'Score TMMi'!H4</f>
        <v>DESENVOLVENDO</v>
      </c>
    </row>
    <row r="7">
      <c r="A7" s="23"/>
      <c r="B7" s="32" t="s">
        <v>65</v>
      </c>
      <c r="C7" s="33" t="s">
        <v>58</v>
      </c>
      <c r="D7" s="34" t="s">
        <v>59</v>
      </c>
      <c r="E7" s="35" t="s">
        <v>66</v>
      </c>
      <c r="F7" s="34" t="s">
        <v>64</v>
      </c>
      <c r="G7" s="36" t="str">
        <f>'Score TMMi'!H5</f>
        <v>DESENVOLVENDO</v>
      </c>
      <c r="H7" s="36" t="str">
        <f>'Score TMMi'!H5</f>
        <v>DESENVOLVENDO</v>
      </c>
      <c r="I7" s="36" t="str">
        <f>'Score TMMi'!H5</f>
        <v>DESENVOLVENDO</v>
      </c>
      <c r="J7" s="36" t="str">
        <f>'Score TMMi'!H5</f>
        <v>DESENVOLVENDO</v>
      </c>
      <c r="K7" s="36" t="str">
        <f>'Score TMMi'!H5</f>
        <v>DESENVOLVENDO</v>
      </c>
      <c r="L7" s="36" t="str">
        <f>'Score TMMi'!H5</f>
        <v>DESENVOLVENDO</v>
      </c>
      <c r="M7" s="36" t="str">
        <f>'Score TMMi'!H5</f>
        <v>DESENVOLVENDO</v>
      </c>
    </row>
    <row r="8">
      <c r="A8" s="23"/>
      <c r="B8" s="32" t="s">
        <v>67</v>
      </c>
      <c r="C8" s="33" t="s">
        <v>58</v>
      </c>
      <c r="D8" s="34" t="s">
        <v>59</v>
      </c>
      <c r="E8" s="37" t="s">
        <v>68</v>
      </c>
      <c r="F8" s="34" t="s">
        <v>69</v>
      </c>
      <c r="G8" s="36" t="str">
        <f>'Score TMMi'!H10</f>
        <v>PLANEJADO</v>
      </c>
      <c r="H8" s="36" t="str">
        <f>'Score TMMi'!H22</f>
        <v>PLANEJADO</v>
      </c>
      <c r="I8" s="36" t="str">
        <f>'Score TMMi'!H35</f>
        <v>PLANEJADO</v>
      </c>
      <c r="J8" s="36" t="str">
        <f>'Score TMMi'!H48</f>
        <v>PLANEJADO</v>
      </c>
      <c r="K8" s="36" t="str">
        <f>'Score TMMi'!H61</f>
        <v>PLANEJADO</v>
      </c>
      <c r="L8" s="36" t="str">
        <f>'Score TMMi'!H74</f>
        <v>PLANEJADO</v>
      </c>
      <c r="M8" s="36" t="str">
        <f>'Score TMMi'!H87</f>
        <v>PLANEJADO</v>
      </c>
    </row>
    <row r="9">
      <c r="A9" s="23"/>
      <c r="B9" s="32" t="s">
        <v>70</v>
      </c>
      <c r="C9" s="33" t="s">
        <v>58</v>
      </c>
      <c r="D9" s="34" t="s">
        <v>59</v>
      </c>
      <c r="E9" s="37" t="s">
        <v>71</v>
      </c>
      <c r="F9" s="34" t="s">
        <v>69</v>
      </c>
      <c r="G9" s="36" t="str">
        <f>'Score TMMi'!H10</f>
        <v>PLANEJADO</v>
      </c>
      <c r="H9" s="36" t="str">
        <f>'Score TMMi'!H23</f>
        <v>PLANEJADO</v>
      </c>
      <c r="I9" s="38" t="str">
        <f>'Score TMMi'!H36</f>
        <v>PLANEJADO</v>
      </c>
      <c r="J9" s="36" t="str">
        <f>'Score TMMi'!H49</f>
        <v>PLANEJADO</v>
      </c>
      <c r="K9" s="36" t="str">
        <f>'Score TMMi'!H62</f>
        <v>PLANEJADO</v>
      </c>
      <c r="L9" s="36" t="str">
        <f>'Score TMMi'!H75</f>
        <v>PLANEJADO</v>
      </c>
      <c r="M9" s="36" t="str">
        <f>'Score TMMi'!H88</f>
        <v>PLANEJADO</v>
      </c>
    </row>
    <row r="10">
      <c r="A10" s="23"/>
      <c r="B10" s="32" t="s">
        <v>72</v>
      </c>
      <c r="C10" s="33" t="s">
        <v>58</v>
      </c>
      <c r="D10" s="34" t="s">
        <v>59</v>
      </c>
      <c r="E10" s="35" t="s">
        <v>73</v>
      </c>
      <c r="F10" s="34" t="s">
        <v>74</v>
      </c>
      <c r="G10" s="36" t="str">
        <f>'Score TMMi'!H12</f>
        <v>PLANEJADO</v>
      </c>
      <c r="H10" s="36" t="str">
        <f>'Score TMMi'!H25</f>
        <v>PLANEJADO</v>
      </c>
      <c r="I10" s="36" t="str">
        <f>'Score TMMi'!H38</f>
        <v>PLANEJADO</v>
      </c>
      <c r="J10" s="36" t="str">
        <f>'Score TMMi'!H51</f>
        <v>PLANEJADO</v>
      </c>
      <c r="K10" s="36" t="str">
        <f>'Score TMMi'!H64</f>
        <v>PLANEJADO</v>
      </c>
      <c r="L10" s="36" t="str">
        <f>'Score TMMi'!H77</f>
        <v>PLANEJADO</v>
      </c>
      <c r="M10" s="36" t="str">
        <f>'Score TMMi'!H90</f>
        <v>PLANEJADO</v>
      </c>
    </row>
    <row r="11">
      <c r="A11" s="23"/>
      <c r="B11" s="32" t="s">
        <v>75</v>
      </c>
      <c r="C11" s="33" t="s">
        <v>58</v>
      </c>
      <c r="D11" s="34" t="s">
        <v>59</v>
      </c>
      <c r="E11" s="37" t="s">
        <v>76</v>
      </c>
      <c r="F11" s="34" t="s">
        <v>77</v>
      </c>
      <c r="G11" s="36" t="str">
        <f>'Score TMMi'!H11</f>
        <v>PLANEJADO</v>
      </c>
      <c r="H11" s="36" t="str">
        <f>'Score TMMi'!H24</f>
        <v>PLANEJADO</v>
      </c>
      <c r="I11" s="36" t="str">
        <f>'Score TMMi'!H37</f>
        <v>PLANEJADO</v>
      </c>
      <c r="J11" s="36" t="str">
        <f>'Score TMMi'!H50</f>
        <v>PLANEJADO</v>
      </c>
      <c r="K11" s="36" t="str">
        <f>'Score TMMi'!H63</f>
        <v>PLANEJADO</v>
      </c>
      <c r="L11" s="36" t="str">
        <f>'Score TMMi'!H76</f>
        <v>PLANEJADO</v>
      </c>
      <c r="M11" s="36" t="str">
        <f>'Score TMMi'!H89</f>
        <v>PLANEJADO</v>
      </c>
    </row>
    <row r="12">
      <c r="A12" s="23"/>
      <c r="B12" s="32" t="s">
        <v>78</v>
      </c>
      <c r="C12" s="33" t="s">
        <v>58</v>
      </c>
      <c r="D12" s="34" t="s">
        <v>59</v>
      </c>
      <c r="E12" s="37" t="s">
        <v>76</v>
      </c>
      <c r="F12" s="34" t="s">
        <v>77</v>
      </c>
      <c r="G12" s="36" t="str">
        <f>'Score TMMi'!H13</f>
        <v>PLANEJADO</v>
      </c>
      <c r="H12" s="36" t="str">
        <f>'Score TMMi'!H26</f>
        <v>PLANEJADO</v>
      </c>
      <c r="I12" s="36" t="str">
        <f>'Score TMMi'!H39</f>
        <v>PLANEJADO</v>
      </c>
      <c r="J12" s="36" t="str">
        <f>'Score TMMi'!H52</f>
        <v>PLANEJADO</v>
      </c>
      <c r="K12" s="36" t="str">
        <f>'Score TMMi'!H65</f>
        <v>PLANEJADO</v>
      </c>
      <c r="L12" s="36" t="str">
        <f>'Score TMMi'!H78</f>
        <v>PLANEJADO</v>
      </c>
      <c r="M12" s="36" t="str">
        <f>'Score TMMi'!H91</f>
        <v>PLANEJADO</v>
      </c>
    </row>
    <row r="13">
      <c r="A13" s="23"/>
      <c r="B13" s="32" t="s">
        <v>79</v>
      </c>
      <c r="C13" s="33" t="s">
        <v>58</v>
      </c>
      <c r="D13" s="34" t="s">
        <v>59</v>
      </c>
      <c r="E13" s="37" t="s">
        <v>80</v>
      </c>
      <c r="F13" s="34" t="s">
        <v>81</v>
      </c>
      <c r="G13" s="36" t="str">
        <f>'Score TMMi'!H14</f>
        <v>PLANEJADO</v>
      </c>
      <c r="H13" s="36" t="str">
        <f>'Score TMMi'!H27</f>
        <v>PLANEJADO</v>
      </c>
      <c r="I13" s="36" t="str">
        <f>'Score TMMi'!H40</f>
        <v>PLANEJADO</v>
      </c>
      <c r="J13" s="36" t="str">
        <f>'Score TMMi'!H53</f>
        <v>PLANEJADO</v>
      </c>
      <c r="K13" s="36" t="str">
        <f>'Score TMMi'!H66</f>
        <v>PLANEJADO</v>
      </c>
      <c r="L13" s="36" t="str">
        <f>'Score TMMi'!H79</f>
        <v>PLANEJADO</v>
      </c>
      <c r="M13" s="36" t="str">
        <f>'Score TMMi'!H92</f>
        <v>PLANEJADO</v>
      </c>
    </row>
    <row r="14">
      <c r="A14" s="23"/>
      <c r="B14" s="32" t="s">
        <v>82</v>
      </c>
      <c r="C14" s="33" t="s">
        <v>58</v>
      </c>
      <c r="D14" s="34" t="s">
        <v>59</v>
      </c>
      <c r="E14" s="39" t="s">
        <v>83</v>
      </c>
      <c r="F14" s="34" t="s">
        <v>84</v>
      </c>
      <c r="G14" s="36" t="str">
        <f>'Score TMMi'!H15</f>
        <v>PLANEJADO</v>
      </c>
      <c r="H14" s="36" t="str">
        <f>'Score TMMi'!H28</f>
        <v>PLANEJADO</v>
      </c>
      <c r="I14" s="36" t="str">
        <f>'Score TMMi'!H41</f>
        <v>PLANEJADO</v>
      </c>
      <c r="J14" s="36" t="str">
        <f>'Score TMMi'!H54</f>
        <v>PLANEJADO</v>
      </c>
      <c r="K14" s="36" t="str">
        <f>'Score TMMi'!H67</f>
        <v>PLANEJADO</v>
      </c>
      <c r="L14" s="36" t="str">
        <f>'Score TMMi'!H80</f>
        <v>PLANEJADO</v>
      </c>
      <c r="M14" s="36" t="str">
        <f>'Score TMMi'!H93</f>
        <v>PLANEJADO</v>
      </c>
    </row>
    <row r="15">
      <c r="A15" s="23"/>
      <c r="B15" s="32" t="s">
        <v>85</v>
      </c>
      <c r="C15" s="33" t="s">
        <v>58</v>
      </c>
      <c r="D15" s="34" t="s">
        <v>59</v>
      </c>
      <c r="E15" s="35" t="s">
        <v>86</v>
      </c>
      <c r="F15" s="34" t="s">
        <v>77</v>
      </c>
      <c r="G15" s="36" t="str">
        <f>'Score TMMi'!H16</f>
        <v>PLANEJADO</v>
      </c>
      <c r="H15" s="36" t="str">
        <f>'Score TMMi'!H29</f>
        <v>PLANEJADO</v>
      </c>
      <c r="I15" s="36" t="str">
        <f>'Score TMMi'!H42</f>
        <v>PLANEJADO</v>
      </c>
      <c r="J15" s="36" t="str">
        <f>'Score TMMi'!H55</f>
        <v>PLANEJADO</v>
      </c>
      <c r="K15" s="36" t="str">
        <f>'Score TMMi'!H68</f>
        <v>PLANEJADO</v>
      </c>
      <c r="L15" s="36" t="str">
        <f>'Score TMMi'!H81</f>
        <v>PLANEJADO</v>
      </c>
      <c r="M15" s="36" t="str">
        <f>'Score TMMi'!H94</f>
        <v>PLANEJADO</v>
      </c>
    </row>
    <row r="16">
      <c r="A16" s="23"/>
      <c r="B16" s="32" t="s">
        <v>87</v>
      </c>
      <c r="C16" s="33" t="s">
        <v>58</v>
      </c>
      <c r="D16" s="34" t="s">
        <v>59</v>
      </c>
      <c r="E16" s="39" t="s">
        <v>88</v>
      </c>
      <c r="F16" s="34" t="s">
        <v>89</v>
      </c>
      <c r="G16" s="36" t="str">
        <f>'Score TMMi'!H17</f>
        <v>PLANEJADO</v>
      </c>
      <c r="H16" s="36" t="str">
        <f>'Score TMMi'!H30</f>
        <v>PLANEJADO</v>
      </c>
      <c r="I16" s="36" t="str">
        <f>'Score TMMi'!H43</f>
        <v>PLANEJADO</v>
      </c>
      <c r="J16" s="36" t="str">
        <f>'Score TMMi'!H56</f>
        <v>PLANEJADO</v>
      </c>
      <c r="K16" s="36" t="str">
        <f>'Score TMMi'!H69</f>
        <v>PLANEJADO</v>
      </c>
      <c r="L16" s="36" t="str">
        <f>'Score TMMi'!H82</f>
        <v>PLANEJADO</v>
      </c>
      <c r="M16" s="36" t="str">
        <f>'Score TMMi'!H95</f>
        <v>PLANEJADO</v>
      </c>
    </row>
    <row r="17">
      <c r="A17" s="23"/>
      <c r="B17" s="32" t="s">
        <v>90</v>
      </c>
      <c r="C17" s="33" t="s">
        <v>58</v>
      </c>
      <c r="D17" s="34" t="s">
        <v>59</v>
      </c>
      <c r="E17" s="39" t="s">
        <v>91</v>
      </c>
      <c r="F17" s="34" t="s">
        <v>92</v>
      </c>
      <c r="G17" s="36" t="str">
        <f>'Score TMMi'!H18</f>
        <v>PLANEJADO</v>
      </c>
      <c r="H17" s="36" t="str">
        <f>'Score TMMi'!H31</f>
        <v>PLANEJADO</v>
      </c>
      <c r="I17" s="36" t="str">
        <f>'Score TMMi'!H44</f>
        <v>PLANEJADO</v>
      </c>
      <c r="J17" s="36" t="str">
        <f>'Score TMMi'!H57</f>
        <v>PLANEJADO</v>
      </c>
      <c r="K17" s="36" t="str">
        <f>'Score TMMi'!H70</f>
        <v>PLANEJADO</v>
      </c>
      <c r="L17" s="36" t="str">
        <f>'Score TMMi'!H83</f>
        <v>PLANEJADO</v>
      </c>
      <c r="M17" s="36" t="str">
        <f>'Score TMMi'!H96</f>
        <v>PLANEJADO</v>
      </c>
    </row>
    <row r="18">
      <c r="A18" s="23"/>
      <c r="B18" s="40" t="s">
        <v>93</v>
      </c>
      <c r="C18" s="41" t="s">
        <v>94</v>
      </c>
      <c r="D18" s="34" t="s">
        <v>59</v>
      </c>
      <c r="E18" s="35" t="s">
        <v>95</v>
      </c>
      <c r="F18" s="34" t="s">
        <v>96</v>
      </c>
      <c r="G18" s="42" t="s">
        <v>97</v>
      </c>
      <c r="H18" s="42" t="s">
        <v>97</v>
      </c>
      <c r="I18" s="42" t="s">
        <v>97</v>
      </c>
      <c r="J18" s="42" t="s">
        <v>97</v>
      </c>
      <c r="K18" s="42" t="s">
        <v>97</v>
      </c>
      <c r="L18" s="42" t="s">
        <v>97</v>
      </c>
      <c r="M18" s="42" t="s">
        <v>97</v>
      </c>
    </row>
    <row r="19">
      <c r="A19" s="23"/>
      <c r="B19" s="40" t="s">
        <v>98</v>
      </c>
      <c r="C19" s="41" t="s">
        <v>94</v>
      </c>
      <c r="D19" s="34" t="s">
        <v>59</v>
      </c>
      <c r="E19" s="35" t="s">
        <v>99</v>
      </c>
      <c r="F19" s="34" t="s">
        <v>74</v>
      </c>
      <c r="G19" s="42" t="s">
        <v>97</v>
      </c>
      <c r="H19" s="42" t="s">
        <v>97</v>
      </c>
      <c r="I19" s="42" t="s">
        <v>97</v>
      </c>
      <c r="J19" s="42" t="s">
        <v>97</v>
      </c>
      <c r="K19" s="42" t="s">
        <v>97</v>
      </c>
      <c r="L19" s="42" t="s">
        <v>97</v>
      </c>
      <c r="M19" s="42" t="s">
        <v>97</v>
      </c>
    </row>
    <row r="20">
      <c r="A20" s="23"/>
      <c r="B20" s="40" t="s">
        <v>100</v>
      </c>
      <c r="C20" s="41" t="s">
        <v>94</v>
      </c>
      <c r="D20" s="34" t="s">
        <v>59</v>
      </c>
      <c r="E20" s="39" t="s">
        <v>88</v>
      </c>
      <c r="F20" s="34" t="s">
        <v>101</v>
      </c>
      <c r="G20" s="42" t="s">
        <v>97</v>
      </c>
      <c r="H20" s="42" t="s">
        <v>97</v>
      </c>
      <c r="I20" s="42" t="s">
        <v>97</v>
      </c>
      <c r="J20" s="42" t="s">
        <v>97</v>
      </c>
      <c r="K20" s="42" t="s">
        <v>97</v>
      </c>
      <c r="L20" s="42" t="s">
        <v>97</v>
      </c>
      <c r="M20" s="42" t="s">
        <v>97</v>
      </c>
    </row>
    <row r="21">
      <c r="A21" s="23"/>
      <c r="B21" s="40" t="s">
        <v>102</v>
      </c>
      <c r="C21" s="41" t="s">
        <v>94</v>
      </c>
      <c r="D21" s="34" t="s">
        <v>59</v>
      </c>
      <c r="E21" s="39" t="s">
        <v>103</v>
      </c>
      <c r="F21" s="34" t="s">
        <v>104</v>
      </c>
      <c r="G21" s="42" t="s">
        <v>97</v>
      </c>
      <c r="H21" s="42" t="s">
        <v>97</v>
      </c>
      <c r="I21" s="42" t="s">
        <v>97</v>
      </c>
      <c r="J21" s="42" t="s">
        <v>97</v>
      </c>
      <c r="K21" s="42" t="s">
        <v>97</v>
      </c>
      <c r="L21" s="42" t="s">
        <v>97</v>
      </c>
      <c r="M21" s="42" t="s">
        <v>97</v>
      </c>
    </row>
    <row r="22">
      <c r="A22" s="23"/>
      <c r="B22" s="43" t="s">
        <v>105</v>
      </c>
      <c r="C22" s="44" t="s">
        <v>106</v>
      </c>
      <c r="D22" s="34" t="s">
        <v>59</v>
      </c>
      <c r="E22" s="45" t="s">
        <v>107</v>
      </c>
      <c r="F22" s="34" t="s">
        <v>64</v>
      </c>
      <c r="G22" s="42" t="s">
        <v>97</v>
      </c>
      <c r="H22" s="42" t="s">
        <v>97</v>
      </c>
      <c r="I22" s="42" t="s">
        <v>97</v>
      </c>
      <c r="J22" s="42" t="s">
        <v>97</v>
      </c>
      <c r="K22" s="42" t="s">
        <v>97</v>
      </c>
      <c r="L22" s="42" t="s">
        <v>97</v>
      </c>
      <c r="M22" s="42" t="s">
        <v>97</v>
      </c>
    </row>
    <row r="23">
      <c r="A23" s="23"/>
      <c r="B23" s="43" t="s">
        <v>108</v>
      </c>
      <c r="C23" s="44" t="s">
        <v>106</v>
      </c>
      <c r="D23" s="34" t="s">
        <v>59</v>
      </c>
      <c r="E23" s="35" t="s">
        <v>109</v>
      </c>
      <c r="F23" s="34" t="s">
        <v>96</v>
      </c>
      <c r="G23" s="42" t="s">
        <v>97</v>
      </c>
      <c r="H23" s="42" t="s">
        <v>97</v>
      </c>
      <c r="I23" s="42" t="s">
        <v>97</v>
      </c>
      <c r="J23" s="42" t="s">
        <v>97</v>
      </c>
      <c r="K23" s="42" t="s">
        <v>97</v>
      </c>
      <c r="L23" s="42" t="s">
        <v>97</v>
      </c>
      <c r="M23" s="42" t="s">
        <v>97</v>
      </c>
    </row>
    <row r="24">
      <c r="A24" s="23"/>
      <c r="B24" s="43" t="s">
        <v>110</v>
      </c>
      <c r="C24" s="44" t="s">
        <v>106</v>
      </c>
      <c r="D24" s="34" t="s">
        <v>59</v>
      </c>
      <c r="E24" s="45" t="s">
        <v>111</v>
      </c>
      <c r="F24" s="34" t="s">
        <v>112</v>
      </c>
      <c r="G24" s="42" t="s">
        <v>97</v>
      </c>
      <c r="H24" s="42" t="s">
        <v>97</v>
      </c>
      <c r="I24" s="42" t="s">
        <v>97</v>
      </c>
      <c r="J24" s="42" t="s">
        <v>97</v>
      </c>
      <c r="K24" s="42" t="s">
        <v>97</v>
      </c>
      <c r="L24" s="42" t="s">
        <v>97</v>
      </c>
      <c r="M24" s="42" t="s">
        <v>97</v>
      </c>
    </row>
    <row r="25">
      <c r="A25" s="23"/>
      <c r="B25" s="46" t="s">
        <v>113</v>
      </c>
      <c r="C25" s="47" t="s">
        <v>114</v>
      </c>
      <c r="D25" s="34" t="s">
        <v>59</v>
      </c>
      <c r="E25" s="35" t="s">
        <v>115</v>
      </c>
      <c r="F25" s="34" t="s">
        <v>116</v>
      </c>
      <c r="G25" s="42" t="s">
        <v>97</v>
      </c>
      <c r="H25" s="42" t="s">
        <v>97</v>
      </c>
      <c r="I25" s="42" t="s">
        <v>97</v>
      </c>
      <c r="J25" s="42" t="s">
        <v>97</v>
      </c>
      <c r="K25" s="42" t="s">
        <v>97</v>
      </c>
      <c r="L25" s="42" t="s">
        <v>97</v>
      </c>
      <c r="M25" s="42" t="s">
        <v>97</v>
      </c>
    </row>
    <row r="26">
      <c r="A26" s="23"/>
      <c r="B26" s="46" t="s">
        <v>117</v>
      </c>
      <c r="C26" s="47" t="s">
        <v>114</v>
      </c>
      <c r="D26" s="34" t="s">
        <v>59</v>
      </c>
      <c r="E26" s="48" t="s">
        <v>118</v>
      </c>
      <c r="F26" s="34" t="s">
        <v>119</v>
      </c>
      <c r="G26" s="42" t="s">
        <v>97</v>
      </c>
      <c r="H26" s="42" t="s">
        <v>97</v>
      </c>
      <c r="I26" s="42" t="s">
        <v>97</v>
      </c>
      <c r="J26" s="42" t="s">
        <v>97</v>
      </c>
      <c r="K26" s="42" t="s">
        <v>97</v>
      </c>
      <c r="L26" s="42" t="s">
        <v>97</v>
      </c>
      <c r="M26" s="42" t="s">
        <v>97</v>
      </c>
    </row>
    <row r="27">
      <c r="A27" s="23"/>
      <c r="B27" s="46" t="s">
        <v>120</v>
      </c>
      <c r="C27" s="47" t="s">
        <v>114</v>
      </c>
      <c r="D27" s="34" t="s">
        <v>59</v>
      </c>
      <c r="E27" s="45" t="s">
        <v>111</v>
      </c>
      <c r="F27" s="34" t="s">
        <v>104</v>
      </c>
      <c r="G27" s="42" t="s">
        <v>97</v>
      </c>
      <c r="H27" s="42" t="s">
        <v>97</v>
      </c>
      <c r="I27" s="42" t="s">
        <v>97</v>
      </c>
      <c r="J27" s="42" t="s">
        <v>97</v>
      </c>
      <c r="K27" s="42" t="s">
        <v>97</v>
      </c>
      <c r="L27" s="42" t="s">
        <v>97</v>
      </c>
      <c r="M27" s="42" t="s">
        <v>97</v>
      </c>
    </row>
    <row r="28" ht="15.75" customHeight="1">
      <c r="A28" s="23"/>
      <c r="B28" s="49"/>
      <c r="C28" s="49"/>
      <c r="D28" s="23"/>
      <c r="E28" s="23"/>
      <c r="F28" s="1"/>
      <c r="G28" s="1"/>
      <c r="H28" s="1"/>
      <c r="I28" s="1"/>
      <c r="J28" s="1"/>
      <c r="K28" s="1"/>
      <c r="L28" s="1"/>
      <c r="M28" s="6"/>
    </row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</sheetData>
  <mergeCells count="8">
    <mergeCell ref="B2:M2"/>
    <mergeCell ref="B3:B4"/>
    <mergeCell ref="C3:C4"/>
    <mergeCell ref="D3:D4"/>
    <mergeCell ref="E3:E4"/>
    <mergeCell ref="F3:F4"/>
    <mergeCell ref="G3:J3"/>
    <mergeCell ref="K3:M3"/>
  </mergeCells>
  <conditionalFormatting sqref="G5:M27">
    <cfRule type="containsText" dxfId="0" priority="1" operator="containsText" text="PLANEJADO">
      <formula>NOT(ISERROR(SEARCH(("PLANEJADO"),(G5))))</formula>
    </cfRule>
  </conditionalFormatting>
  <conditionalFormatting sqref="G5:M27">
    <cfRule type="containsText" dxfId="1" priority="2" operator="containsText" text="DESENVOLVENDO">
      <formula>NOT(ISERROR(SEARCH(("DESENVOLVENDO"),(G5))))</formula>
    </cfRule>
  </conditionalFormatting>
  <conditionalFormatting sqref="G5:M27">
    <cfRule type="containsText" dxfId="2" priority="3" operator="containsText" text="EM ADOÇÃO">
      <formula>NOT(ISERROR(SEARCH(("EM ADOÇÃO"),(G5))))</formula>
    </cfRule>
  </conditionalFormatting>
  <conditionalFormatting sqref="G5:M27">
    <cfRule type="containsText" dxfId="3" priority="4" operator="containsText" text="ADOTADO">
      <formula>NOT(ISERROR(SEARCH(("ADOTADO"),(G5))))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12.63"/>
    <col customWidth="1" min="3" max="3" width="23.5"/>
    <col customWidth="1" min="4" max="4" width="40.13"/>
    <col customWidth="1" min="5" max="5" width="18.38"/>
    <col customWidth="1" min="6" max="6" width="16.75"/>
    <col customWidth="1" min="7" max="8" width="16.13"/>
    <col customWidth="1" min="9" max="9" width="17.75"/>
    <col customWidth="1" min="10" max="10" width="18.88"/>
    <col customWidth="1" min="11" max="12" width="16.13"/>
  </cols>
  <sheetData>
    <row r="1" ht="15.75" customHeight="1">
      <c r="A1" s="23"/>
      <c r="B1" s="23"/>
      <c r="C1" s="23"/>
      <c r="D1" s="23"/>
      <c r="E1" s="1"/>
      <c r="F1" s="1"/>
      <c r="G1" s="1"/>
      <c r="H1" s="1"/>
      <c r="I1" s="1"/>
      <c r="J1" s="1"/>
      <c r="K1" s="1"/>
      <c r="L1" s="6"/>
    </row>
    <row r="2" ht="22.5" customHeight="1">
      <c r="A2" s="23"/>
      <c r="B2" s="50" t="s">
        <v>42</v>
      </c>
    </row>
    <row r="3" ht="22.5" customHeight="1">
      <c r="A3" s="23"/>
      <c r="B3" s="51" t="s">
        <v>44</v>
      </c>
      <c r="C3" s="52" t="s">
        <v>45</v>
      </c>
      <c r="D3" s="51" t="s">
        <v>46</v>
      </c>
      <c r="E3" s="52" t="s">
        <v>47</v>
      </c>
      <c r="F3" s="53" t="s">
        <v>48</v>
      </c>
      <c r="G3" s="54"/>
      <c r="H3" s="54"/>
      <c r="I3" s="55"/>
      <c r="J3" s="53" t="s">
        <v>49</v>
      </c>
      <c r="K3" s="54"/>
      <c r="L3" s="55"/>
    </row>
    <row r="4" ht="42.0" customHeight="1">
      <c r="A4" s="23"/>
      <c r="B4" s="56"/>
      <c r="C4" s="56"/>
      <c r="D4" s="56"/>
      <c r="E4" s="56"/>
      <c r="F4" s="57" t="s">
        <v>50</v>
      </c>
      <c r="G4" s="58" t="s">
        <v>51</v>
      </c>
      <c r="H4" s="57" t="s">
        <v>52</v>
      </c>
      <c r="I4" s="58" t="s">
        <v>53</v>
      </c>
      <c r="J4" s="57" t="s">
        <v>54</v>
      </c>
      <c r="K4" s="58" t="s">
        <v>55</v>
      </c>
      <c r="L4" s="57" t="s">
        <v>56</v>
      </c>
    </row>
    <row r="5">
      <c r="A5" s="23"/>
      <c r="B5" s="59" t="s">
        <v>58</v>
      </c>
      <c r="C5" s="60" t="s">
        <v>59</v>
      </c>
      <c r="D5" s="61" t="s">
        <v>121</v>
      </c>
      <c r="E5" s="60" t="s">
        <v>61</v>
      </c>
      <c r="F5" s="62" t="s">
        <v>122</v>
      </c>
      <c r="G5" s="62" t="s">
        <v>122</v>
      </c>
      <c r="H5" s="62" t="s">
        <v>122</v>
      </c>
      <c r="I5" s="62" t="s">
        <v>122</v>
      </c>
      <c r="J5" s="62" t="s">
        <v>122</v>
      </c>
      <c r="K5" s="62" t="s">
        <v>122</v>
      </c>
      <c r="L5" s="62" t="s">
        <v>122</v>
      </c>
    </row>
    <row r="6" ht="25.5" customHeight="1">
      <c r="A6" s="23"/>
      <c r="B6" s="59" t="s">
        <v>58</v>
      </c>
      <c r="C6" s="60" t="s">
        <v>59</v>
      </c>
      <c r="D6" s="63" t="s">
        <v>63</v>
      </c>
      <c r="E6" s="60" t="s">
        <v>64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</row>
    <row r="7">
      <c r="A7" s="23"/>
      <c r="B7" s="59" t="s">
        <v>58</v>
      </c>
      <c r="C7" s="60" t="s">
        <v>59</v>
      </c>
      <c r="D7" s="61" t="s">
        <v>123</v>
      </c>
      <c r="E7" s="60" t="s">
        <v>64</v>
      </c>
      <c r="F7" s="36" t="s">
        <v>122</v>
      </c>
      <c r="G7" s="36" t="s">
        <v>122</v>
      </c>
      <c r="H7" s="36" t="s">
        <v>122</v>
      </c>
      <c r="I7" s="36" t="s">
        <v>122</v>
      </c>
      <c r="J7" s="36" t="s">
        <v>122</v>
      </c>
      <c r="K7" s="36" t="s">
        <v>122</v>
      </c>
      <c r="L7" s="36" t="s">
        <v>122</v>
      </c>
    </row>
    <row r="8">
      <c r="A8" s="23"/>
      <c r="B8" s="59" t="s">
        <v>58</v>
      </c>
      <c r="C8" s="60" t="s">
        <v>59</v>
      </c>
      <c r="D8" s="63" t="s">
        <v>124</v>
      </c>
      <c r="E8" s="60" t="s">
        <v>69</v>
      </c>
      <c r="F8" s="36" t="s">
        <v>122</v>
      </c>
      <c r="G8" s="36" t="s">
        <v>122</v>
      </c>
      <c r="H8" s="36" t="s">
        <v>122</v>
      </c>
      <c r="I8" s="36" t="s">
        <v>122</v>
      </c>
      <c r="J8" s="36" t="s">
        <v>122</v>
      </c>
      <c r="K8" s="36" t="s">
        <v>122</v>
      </c>
      <c r="L8" s="36" t="s">
        <v>122</v>
      </c>
    </row>
    <row r="9">
      <c r="A9" s="23"/>
      <c r="B9" s="59" t="s">
        <v>58</v>
      </c>
      <c r="C9" s="60" t="s">
        <v>59</v>
      </c>
      <c r="D9" s="63" t="s">
        <v>125</v>
      </c>
      <c r="E9" s="60" t="s">
        <v>69</v>
      </c>
      <c r="F9" s="36" t="s">
        <v>122</v>
      </c>
      <c r="G9" s="36" t="s">
        <v>122</v>
      </c>
      <c r="H9" s="36" t="s">
        <v>122</v>
      </c>
      <c r="I9" s="36" t="s">
        <v>122</v>
      </c>
      <c r="J9" s="36" t="s">
        <v>122</v>
      </c>
      <c r="K9" s="36" t="s">
        <v>122</v>
      </c>
      <c r="L9" s="36" t="s">
        <v>122</v>
      </c>
    </row>
    <row r="10">
      <c r="A10" s="23"/>
      <c r="B10" s="59" t="s">
        <v>58</v>
      </c>
      <c r="C10" s="60" t="s">
        <v>59</v>
      </c>
      <c r="D10" s="61" t="s">
        <v>126</v>
      </c>
      <c r="E10" s="60" t="s">
        <v>74</v>
      </c>
      <c r="F10" s="36" t="s">
        <v>122</v>
      </c>
      <c r="G10" s="36" t="s">
        <v>122</v>
      </c>
      <c r="H10" s="36" t="s">
        <v>122</v>
      </c>
      <c r="I10" s="36" t="s">
        <v>122</v>
      </c>
      <c r="J10" s="36" t="s">
        <v>122</v>
      </c>
      <c r="K10" s="36" t="s">
        <v>122</v>
      </c>
      <c r="L10" s="36" t="s">
        <v>122</v>
      </c>
    </row>
    <row r="11">
      <c r="A11" s="23"/>
      <c r="B11" s="59" t="s">
        <v>58</v>
      </c>
      <c r="C11" s="60" t="s">
        <v>59</v>
      </c>
      <c r="D11" s="63" t="s">
        <v>76</v>
      </c>
      <c r="E11" s="60" t="s">
        <v>77</v>
      </c>
      <c r="F11" s="36" t="s">
        <v>122</v>
      </c>
      <c r="G11" s="36" t="s">
        <v>122</v>
      </c>
      <c r="H11" s="36" t="s">
        <v>122</v>
      </c>
      <c r="I11" s="36" t="s">
        <v>122</v>
      </c>
      <c r="J11" s="36" t="s">
        <v>122</v>
      </c>
      <c r="K11" s="36" t="s">
        <v>122</v>
      </c>
      <c r="L11" s="36" t="s">
        <v>122</v>
      </c>
    </row>
    <row r="12">
      <c r="A12" s="23"/>
      <c r="B12" s="59" t="s">
        <v>58</v>
      </c>
      <c r="C12" s="60" t="s">
        <v>59</v>
      </c>
      <c r="D12" s="63" t="s">
        <v>76</v>
      </c>
      <c r="E12" s="60" t="s">
        <v>77</v>
      </c>
      <c r="F12" s="36" t="s">
        <v>122</v>
      </c>
      <c r="G12" s="36" t="s">
        <v>122</v>
      </c>
      <c r="H12" s="36" t="s">
        <v>122</v>
      </c>
      <c r="I12" s="36" t="s">
        <v>122</v>
      </c>
      <c r="J12" s="36" t="s">
        <v>122</v>
      </c>
      <c r="K12" s="36" t="s">
        <v>122</v>
      </c>
      <c r="L12" s="36" t="s">
        <v>122</v>
      </c>
    </row>
    <row r="13">
      <c r="A13" s="23"/>
      <c r="B13" s="59" t="s">
        <v>58</v>
      </c>
      <c r="C13" s="60" t="s">
        <v>59</v>
      </c>
      <c r="D13" s="63" t="s">
        <v>80</v>
      </c>
      <c r="E13" s="60" t="s">
        <v>81</v>
      </c>
      <c r="F13" s="36" t="s">
        <v>122</v>
      </c>
      <c r="G13" s="36" t="s">
        <v>122</v>
      </c>
      <c r="H13" s="36" t="s">
        <v>122</v>
      </c>
      <c r="I13" s="36" t="s">
        <v>122</v>
      </c>
      <c r="J13" s="36" t="s">
        <v>122</v>
      </c>
      <c r="K13" s="36" t="s">
        <v>122</v>
      </c>
      <c r="L13" s="36" t="s">
        <v>122</v>
      </c>
    </row>
    <row r="14">
      <c r="A14" s="23"/>
      <c r="B14" s="59" t="s">
        <v>58</v>
      </c>
      <c r="C14" s="60" t="s">
        <v>59</v>
      </c>
      <c r="D14" s="64" t="s">
        <v>83</v>
      </c>
      <c r="E14" s="60" t="s">
        <v>84</v>
      </c>
      <c r="F14" s="36" t="s">
        <v>122</v>
      </c>
      <c r="G14" s="36" t="s">
        <v>122</v>
      </c>
      <c r="H14" s="36" t="s">
        <v>122</v>
      </c>
      <c r="I14" s="36" t="s">
        <v>122</v>
      </c>
      <c r="J14" s="36" t="s">
        <v>122</v>
      </c>
      <c r="K14" s="36" t="s">
        <v>122</v>
      </c>
      <c r="L14" s="36" t="s">
        <v>122</v>
      </c>
    </row>
    <row r="15">
      <c r="A15" s="23"/>
      <c r="B15" s="59" t="s">
        <v>58</v>
      </c>
      <c r="C15" s="60" t="s">
        <v>59</v>
      </c>
      <c r="D15" s="61" t="s">
        <v>127</v>
      </c>
      <c r="E15" s="60" t="s">
        <v>77</v>
      </c>
      <c r="F15" s="36" t="s">
        <v>122</v>
      </c>
      <c r="G15" s="36" t="s">
        <v>122</v>
      </c>
      <c r="H15" s="36" t="s">
        <v>122</v>
      </c>
      <c r="I15" s="36" t="s">
        <v>122</v>
      </c>
      <c r="J15" s="36" t="s">
        <v>122</v>
      </c>
      <c r="K15" s="36" t="s">
        <v>122</v>
      </c>
      <c r="L15" s="36" t="s">
        <v>122</v>
      </c>
    </row>
    <row r="16">
      <c r="A16" s="23"/>
      <c r="B16" s="59" t="s">
        <v>58</v>
      </c>
      <c r="C16" s="60" t="s">
        <v>59</v>
      </c>
      <c r="D16" s="64" t="s">
        <v>88</v>
      </c>
      <c r="E16" s="60" t="s">
        <v>89</v>
      </c>
      <c r="F16" s="36" t="s">
        <v>122</v>
      </c>
      <c r="G16" s="36" t="s">
        <v>122</v>
      </c>
      <c r="H16" s="36" t="s">
        <v>122</v>
      </c>
      <c r="I16" s="36" t="s">
        <v>122</v>
      </c>
      <c r="J16" s="36" t="s">
        <v>122</v>
      </c>
      <c r="K16" s="36" t="s">
        <v>122</v>
      </c>
      <c r="L16" s="36" t="s">
        <v>122</v>
      </c>
    </row>
    <row r="17">
      <c r="A17" s="23"/>
      <c r="B17" s="59" t="s">
        <v>58</v>
      </c>
      <c r="C17" s="60" t="s">
        <v>59</v>
      </c>
      <c r="D17" s="64" t="s">
        <v>91</v>
      </c>
      <c r="E17" s="60" t="s">
        <v>92</v>
      </c>
      <c r="F17" s="36" t="s">
        <v>122</v>
      </c>
      <c r="G17" s="36" t="s">
        <v>122</v>
      </c>
      <c r="H17" s="36" t="s">
        <v>122</v>
      </c>
      <c r="I17" s="36" t="s">
        <v>122</v>
      </c>
      <c r="J17" s="36" t="s">
        <v>122</v>
      </c>
      <c r="K17" s="36" t="s">
        <v>122</v>
      </c>
      <c r="L17" s="36" t="s">
        <v>122</v>
      </c>
    </row>
    <row r="18">
      <c r="A18" s="23"/>
      <c r="B18" s="59" t="s">
        <v>58</v>
      </c>
      <c r="C18" s="60" t="s">
        <v>59</v>
      </c>
      <c r="D18" s="64" t="s">
        <v>91</v>
      </c>
      <c r="E18" s="60" t="s">
        <v>92</v>
      </c>
      <c r="F18" s="36" t="s">
        <v>122</v>
      </c>
      <c r="G18" s="36" t="s">
        <v>122</v>
      </c>
      <c r="H18" s="36" t="s">
        <v>122</v>
      </c>
      <c r="I18" s="36" t="s">
        <v>122</v>
      </c>
      <c r="J18" s="36" t="s">
        <v>122</v>
      </c>
      <c r="K18" s="36" t="s">
        <v>122</v>
      </c>
      <c r="L18" s="36" t="s">
        <v>122</v>
      </c>
    </row>
    <row r="19">
      <c r="A19" s="23"/>
      <c r="B19" s="65" t="s">
        <v>94</v>
      </c>
      <c r="C19" s="60" t="s">
        <v>59</v>
      </c>
      <c r="D19" s="61" t="s">
        <v>128</v>
      </c>
      <c r="E19" s="60" t="s">
        <v>96</v>
      </c>
      <c r="F19" s="36" t="s">
        <v>122</v>
      </c>
      <c r="G19" s="36" t="s">
        <v>122</v>
      </c>
      <c r="H19" s="36" t="s">
        <v>122</v>
      </c>
      <c r="I19" s="36" t="s">
        <v>122</v>
      </c>
      <c r="J19" s="36" t="s">
        <v>122</v>
      </c>
      <c r="K19" s="36" t="s">
        <v>122</v>
      </c>
      <c r="L19" s="36" t="s">
        <v>122</v>
      </c>
    </row>
    <row r="20">
      <c r="A20" s="23"/>
      <c r="B20" s="65" t="s">
        <v>94</v>
      </c>
      <c r="C20" s="60" t="s">
        <v>59</v>
      </c>
      <c r="D20" s="61" t="s">
        <v>129</v>
      </c>
      <c r="E20" s="60" t="s">
        <v>74</v>
      </c>
      <c r="F20" s="36" t="s">
        <v>122</v>
      </c>
      <c r="G20" s="36" t="s">
        <v>122</v>
      </c>
      <c r="H20" s="36" t="s">
        <v>122</v>
      </c>
      <c r="I20" s="36" t="s">
        <v>122</v>
      </c>
      <c r="J20" s="36" t="s">
        <v>122</v>
      </c>
      <c r="K20" s="36" t="s">
        <v>122</v>
      </c>
      <c r="L20" s="36" t="s">
        <v>122</v>
      </c>
    </row>
    <row r="21">
      <c r="A21" s="23"/>
      <c r="B21" s="65" t="s">
        <v>94</v>
      </c>
      <c r="C21" s="60" t="s">
        <v>59</v>
      </c>
      <c r="D21" s="64" t="s">
        <v>88</v>
      </c>
      <c r="E21" s="60" t="s">
        <v>101</v>
      </c>
      <c r="F21" s="36" t="s">
        <v>122</v>
      </c>
      <c r="G21" s="36" t="s">
        <v>122</v>
      </c>
      <c r="H21" s="36" t="s">
        <v>122</v>
      </c>
      <c r="I21" s="36" t="s">
        <v>122</v>
      </c>
      <c r="J21" s="36" t="s">
        <v>122</v>
      </c>
      <c r="K21" s="36" t="s">
        <v>122</v>
      </c>
      <c r="L21" s="36" t="s">
        <v>122</v>
      </c>
    </row>
    <row r="22">
      <c r="A22" s="23"/>
      <c r="B22" s="65" t="s">
        <v>94</v>
      </c>
      <c r="C22" s="60" t="s">
        <v>59</v>
      </c>
      <c r="D22" s="64" t="s">
        <v>103</v>
      </c>
      <c r="E22" s="60" t="s">
        <v>104</v>
      </c>
      <c r="F22" s="36" t="s">
        <v>122</v>
      </c>
      <c r="G22" s="36" t="s">
        <v>122</v>
      </c>
      <c r="H22" s="36" t="s">
        <v>122</v>
      </c>
      <c r="I22" s="36" t="s">
        <v>122</v>
      </c>
      <c r="J22" s="36" t="s">
        <v>122</v>
      </c>
      <c r="K22" s="36" t="s">
        <v>122</v>
      </c>
      <c r="L22" s="36" t="s">
        <v>122</v>
      </c>
    </row>
    <row r="23">
      <c r="A23" s="23"/>
      <c r="B23" s="66" t="s">
        <v>106</v>
      </c>
      <c r="C23" s="60" t="s">
        <v>59</v>
      </c>
      <c r="D23" s="67" t="s">
        <v>107</v>
      </c>
      <c r="E23" s="60" t="s">
        <v>64</v>
      </c>
      <c r="F23" s="36" t="s">
        <v>122</v>
      </c>
      <c r="G23" s="36" t="s">
        <v>122</v>
      </c>
      <c r="H23" s="36" t="s">
        <v>122</v>
      </c>
      <c r="I23" s="36" t="s">
        <v>122</v>
      </c>
      <c r="J23" s="36" t="s">
        <v>122</v>
      </c>
      <c r="K23" s="36" t="s">
        <v>122</v>
      </c>
      <c r="L23" s="36" t="s">
        <v>122</v>
      </c>
    </row>
    <row r="24">
      <c r="A24" s="23"/>
      <c r="B24" s="66" t="s">
        <v>106</v>
      </c>
      <c r="C24" s="60" t="s">
        <v>59</v>
      </c>
      <c r="D24" s="61" t="s">
        <v>130</v>
      </c>
      <c r="E24" s="60" t="s">
        <v>96</v>
      </c>
      <c r="F24" s="36" t="s">
        <v>122</v>
      </c>
      <c r="G24" s="36" t="s">
        <v>122</v>
      </c>
      <c r="H24" s="36" t="s">
        <v>122</v>
      </c>
      <c r="I24" s="36" t="s">
        <v>122</v>
      </c>
      <c r="J24" s="36" t="s">
        <v>122</v>
      </c>
      <c r="K24" s="36" t="s">
        <v>122</v>
      </c>
      <c r="L24" s="36" t="s">
        <v>122</v>
      </c>
    </row>
    <row r="25">
      <c r="A25" s="23"/>
      <c r="B25" s="66" t="s">
        <v>106</v>
      </c>
      <c r="C25" s="60" t="s">
        <v>59</v>
      </c>
      <c r="D25" s="67" t="s">
        <v>111</v>
      </c>
      <c r="E25" s="60" t="s">
        <v>112</v>
      </c>
      <c r="F25" s="36" t="s">
        <v>122</v>
      </c>
      <c r="G25" s="36" t="s">
        <v>122</v>
      </c>
      <c r="H25" s="36" t="s">
        <v>122</v>
      </c>
      <c r="I25" s="36" t="s">
        <v>122</v>
      </c>
      <c r="J25" s="36" t="s">
        <v>122</v>
      </c>
      <c r="K25" s="36" t="s">
        <v>122</v>
      </c>
      <c r="L25" s="36" t="s">
        <v>122</v>
      </c>
    </row>
    <row r="26">
      <c r="A26" s="23"/>
      <c r="B26" s="68" t="s">
        <v>114</v>
      </c>
      <c r="C26" s="60" t="s">
        <v>59</v>
      </c>
      <c r="D26" s="61" t="s">
        <v>131</v>
      </c>
      <c r="E26" s="60" t="s">
        <v>116</v>
      </c>
      <c r="F26" s="36" t="s">
        <v>122</v>
      </c>
      <c r="G26" s="36" t="s">
        <v>122</v>
      </c>
      <c r="H26" s="36" t="s">
        <v>122</v>
      </c>
      <c r="I26" s="36" t="s">
        <v>122</v>
      </c>
      <c r="J26" s="36" t="s">
        <v>122</v>
      </c>
      <c r="K26" s="36" t="s">
        <v>122</v>
      </c>
      <c r="L26" s="36" t="s">
        <v>122</v>
      </c>
    </row>
    <row r="27">
      <c r="A27" s="23"/>
      <c r="B27" s="68" t="s">
        <v>114</v>
      </c>
      <c r="C27" s="60" t="s">
        <v>59</v>
      </c>
      <c r="D27" s="69" t="s">
        <v>118</v>
      </c>
      <c r="E27" s="60" t="s">
        <v>119</v>
      </c>
      <c r="F27" s="36" t="s">
        <v>122</v>
      </c>
      <c r="G27" s="36" t="s">
        <v>122</v>
      </c>
      <c r="H27" s="36" t="s">
        <v>122</v>
      </c>
      <c r="I27" s="36" t="s">
        <v>122</v>
      </c>
      <c r="J27" s="36" t="s">
        <v>122</v>
      </c>
      <c r="K27" s="36" t="s">
        <v>122</v>
      </c>
      <c r="L27" s="36" t="s">
        <v>122</v>
      </c>
    </row>
    <row r="28">
      <c r="A28" s="23"/>
      <c r="B28" s="68" t="s">
        <v>114</v>
      </c>
      <c r="C28" s="60" t="s">
        <v>59</v>
      </c>
      <c r="D28" s="67" t="s">
        <v>111</v>
      </c>
      <c r="E28" s="60" t="s">
        <v>104</v>
      </c>
      <c r="F28" s="36" t="s">
        <v>122</v>
      </c>
      <c r="G28" s="36" t="s">
        <v>122</v>
      </c>
      <c r="H28" s="36" t="s">
        <v>122</v>
      </c>
      <c r="I28" s="36" t="s">
        <v>122</v>
      </c>
      <c r="J28" s="36" t="s">
        <v>122</v>
      </c>
      <c r="K28" s="36" t="s">
        <v>122</v>
      </c>
      <c r="L28" s="36" t="s">
        <v>122</v>
      </c>
    </row>
    <row r="29" ht="15.75" customHeight="1">
      <c r="A29" s="23"/>
      <c r="B29" s="49"/>
      <c r="C29" s="23"/>
      <c r="D29" s="23"/>
      <c r="E29" s="1"/>
      <c r="F29" s="1"/>
      <c r="G29" s="1"/>
      <c r="H29" s="1"/>
      <c r="I29" s="1"/>
      <c r="J29" s="1"/>
      <c r="K29" s="1"/>
      <c r="L29" s="6"/>
    </row>
    <row r="30" ht="15.75" customHeight="1">
      <c r="B30" s="70"/>
      <c r="C30" s="71"/>
    </row>
    <row r="31" ht="15.75" customHeight="1">
      <c r="B31" s="72"/>
    </row>
    <row r="32" ht="15.75" customHeight="1"/>
    <row r="33" ht="15.75" customHeight="1">
      <c r="B33" s="50" t="s">
        <v>132</v>
      </c>
    </row>
    <row r="34" ht="24.0" customHeight="1">
      <c r="B34" s="73" t="s">
        <v>45</v>
      </c>
      <c r="C34" s="74" t="s">
        <v>46</v>
      </c>
      <c r="D34" s="73" t="s">
        <v>47</v>
      </c>
      <c r="E34" s="75" t="s">
        <v>133</v>
      </c>
      <c r="F34" s="54"/>
      <c r="G34" s="54"/>
      <c r="H34" s="55"/>
      <c r="I34" s="75" t="s">
        <v>134</v>
      </c>
      <c r="J34" s="54"/>
      <c r="K34" s="55"/>
    </row>
    <row r="35" ht="30.75" customHeight="1">
      <c r="B35" s="56"/>
      <c r="C35" s="56"/>
      <c r="D35" s="56"/>
      <c r="E35" s="76" t="s">
        <v>50</v>
      </c>
      <c r="F35" s="77" t="s">
        <v>51</v>
      </c>
      <c r="G35" s="76" t="s">
        <v>52</v>
      </c>
      <c r="H35" s="77" t="s">
        <v>53</v>
      </c>
      <c r="I35" s="76" t="s">
        <v>54</v>
      </c>
      <c r="J35" s="77" t="s">
        <v>55</v>
      </c>
      <c r="K35" s="76" t="s">
        <v>56</v>
      </c>
    </row>
    <row r="36" ht="27.75" customHeight="1">
      <c r="B36" s="78" t="s">
        <v>135</v>
      </c>
      <c r="C36" s="79" t="s">
        <v>63</v>
      </c>
      <c r="D36" s="80" t="s">
        <v>136</v>
      </c>
      <c r="E36" s="81" t="s">
        <v>7</v>
      </c>
      <c r="F36" s="81" t="s">
        <v>7</v>
      </c>
      <c r="G36" s="81" t="s">
        <v>7</v>
      </c>
      <c r="H36" s="81" t="s">
        <v>7</v>
      </c>
      <c r="I36" s="81" t="s">
        <v>7</v>
      </c>
      <c r="J36" s="81" t="s">
        <v>7</v>
      </c>
      <c r="K36" s="81" t="s">
        <v>7</v>
      </c>
    </row>
    <row r="37" ht="15.75" customHeight="1">
      <c r="B37" s="82" t="s">
        <v>135</v>
      </c>
      <c r="C37" s="8" t="s">
        <v>137</v>
      </c>
      <c r="D37" s="10" t="s">
        <v>138</v>
      </c>
      <c r="E37" s="16" t="s">
        <v>10</v>
      </c>
      <c r="F37" s="16" t="s">
        <v>10</v>
      </c>
      <c r="G37" s="16" t="s">
        <v>22</v>
      </c>
      <c r="H37" s="16" t="s">
        <v>10</v>
      </c>
      <c r="I37" s="16" t="s">
        <v>10</v>
      </c>
      <c r="J37" s="16" t="s">
        <v>10</v>
      </c>
      <c r="K37" s="16" t="s">
        <v>10</v>
      </c>
    </row>
    <row r="38" ht="15.75" customHeight="1">
      <c r="B38" s="82" t="s">
        <v>135</v>
      </c>
      <c r="C38" s="8" t="s">
        <v>139</v>
      </c>
      <c r="D38" s="10" t="s">
        <v>96</v>
      </c>
      <c r="E38" s="16" t="s">
        <v>10</v>
      </c>
      <c r="F38" s="16" t="s">
        <v>10</v>
      </c>
      <c r="G38" s="16" t="s">
        <v>22</v>
      </c>
      <c r="H38" s="16" t="s">
        <v>10</v>
      </c>
      <c r="I38" s="16" t="s">
        <v>10</v>
      </c>
      <c r="J38" s="16" t="s">
        <v>10</v>
      </c>
      <c r="K38" s="16" t="s">
        <v>10</v>
      </c>
    </row>
    <row r="39" ht="15.75" customHeight="1">
      <c r="B39" s="82" t="s">
        <v>135</v>
      </c>
      <c r="C39" s="8" t="s">
        <v>140</v>
      </c>
      <c r="D39" s="10" t="s">
        <v>141</v>
      </c>
      <c r="E39" s="16" t="s">
        <v>10</v>
      </c>
      <c r="F39" s="16" t="s">
        <v>10</v>
      </c>
      <c r="G39" s="16" t="s">
        <v>10</v>
      </c>
      <c r="H39" s="16" t="s">
        <v>10</v>
      </c>
      <c r="I39" s="16" t="s">
        <v>10</v>
      </c>
      <c r="J39" s="16" t="s">
        <v>10</v>
      </c>
      <c r="K39" s="16" t="s">
        <v>10</v>
      </c>
    </row>
    <row r="40" ht="15.75" customHeight="1">
      <c r="B40" s="82" t="s">
        <v>135</v>
      </c>
      <c r="C40" s="8" t="s">
        <v>76</v>
      </c>
      <c r="D40" s="10" t="s">
        <v>81</v>
      </c>
      <c r="E40" s="16" t="s">
        <v>10</v>
      </c>
      <c r="F40" s="16" t="s">
        <v>10</v>
      </c>
      <c r="G40" s="16" t="s">
        <v>10</v>
      </c>
      <c r="H40" s="16" t="s">
        <v>10</v>
      </c>
      <c r="I40" s="16" t="s">
        <v>10</v>
      </c>
      <c r="J40" s="16" t="s">
        <v>10</v>
      </c>
      <c r="K40" s="16" t="s">
        <v>10</v>
      </c>
    </row>
    <row r="41" ht="15.75" customHeight="1">
      <c r="B41" s="82" t="s">
        <v>135</v>
      </c>
      <c r="C41" s="8" t="s">
        <v>142</v>
      </c>
      <c r="D41" s="10" t="s">
        <v>143</v>
      </c>
      <c r="E41" s="16" t="s">
        <v>10</v>
      </c>
      <c r="F41" s="16" t="s">
        <v>10</v>
      </c>
      <c r="G41" s="16" t="s">
        <v>10</v>
      </c>
      <c r="H41" s="16" t="s">
        <v>10</v>
      </c>
      <c r="I41" s="16" t="s">
        <v>10</v>
      </c>
      <c r="J41" s="16" t="s">
        <v>10</v>
      </c>
      <c r="K41" s="16" t="s">
        <v>10</v>
      </c>
    </row>
    <row r="42" ht="15.75" customHeight="1">
      <c r="B42" s="82" t="s">
        <v>135</v>
      </c>
      <c r="C42" s="8" t="s">
        <v>144</v>
      </c>
      <c r="D42" s="10" t="s">
        <v>145</v>
      </c>
      <c r="E42" s="16" t="s">
        <v>146</v>
      </c>
      <c r="F42" s="16" t="s">
        <v>146</v>
      </c>
      <c r="G42" s="16" t="s">
        <v>146</v>
      </c>
      <c r="H42" s="16" t="s">
        <v>146</v>
      </c>
      <c r="I42" s="16" t="s">
        <v>146</v>
      </c>
      <c r="J42" s="16" t="s">
        <v>146</v>
      </c>
      <c r="K42" s="16" t="s">
        <v>146</v>
      </c>
    </row>
    <row r="43" ht="15.75" customHeight="1">
      <c r="B43" s="82" t="s">
        <v>59</v>
      </c>
      <c r="C43" s="83" t="s">
        <v>147</v>
      </c>
      <c r="D43" s="10" t="s">
        <v>64</v>
      </c>
      <c r="E43" s="16" t="s">
        <v>22</v>
      </c>
      <c r="F43" s="16" t="s">
        <v>22</v>
      </c>
      <c r="G43" s="16" t="s">
        <v>7</v>
      </c>
      <c r="H43" s="16" t="s">
        <v>10</v>
      </c>
      <c r="I43" s="16" t="s">
        <v>10</v>
      </c>
      <c r="J43" s="16" t="s">
        <v>22</v>
      </c>
      <c r="K43" s="16" t="s">
        <v>10</v>
      </c>
    </row>
    <row r="44" ht="15.75" customHeight="1">
      <c r="B44" s="82" t="s">
        <v>59</v>
      </c>
      <c r="C44" s="83" t="s">
        <v>103</v>
      </c>
      <c r="D44" s="10" t="s">
        <v>136</v>
      </c>
      <c r="E44" s="16" t="s">
        <v>22</v>
      </c>
      <c r="F44" s="16" t="s">
        <v>22</v>
      </c>
      <c r="G44" s="16" t="s">
        <v>22</v>
      </c>
      <c r="H44" s="16" t="s">
        <v>22</v>
      </c>
      <c r="I44" s="16" t="s">
        <v>22</v>
      </c>
      <c r="J44" s="16" t="s">
        <v>22</v>
      </c>
      <c r="K44" s="16" t="s">
        <v>22</v>
      </c>
    </row>
    <row r="45" ht="15.75" customHeight="1">
      <c r="B45" s="82" t="s">
        <v>59</v>
      </c>
      <c r="C45" s="83" t="s">
        <v>148</v>
      </c>
      <c r="D45" s="10" t="s">
        <v>149</v>
      </c>
      <c r="E45" s="16" t="s">
        <v>22</v>
      </c>
      <c r="F45" s="16" t="s">
        <v>7</v>
      </c>
      <c r="G45" s="16" t="s">
        <v>7</v>
      </c>
      <c r="H45" s="16" t="s">
        <v>10</v>
      </c>
      <c r="I45" s="16" t="s">
        <v>10</v>
      </c>
      <c r="J45" s="16" t="s">
        <v>22</v>
      </c>
      <c r="K45" s="16" t="s">
        <v>10</v>
      </c>
    </row>
    <row r="46" ht="15.75" customHeight="1">
      <c r="B46" s="82" t="s">
        <v>59</v>
      </c>
      <c r="C46" s="83" t="s">
        <v>150</v>
      </c>
      <c r="D46" s="10" t="s">
        <v>151</v>
      </c>
      <c r="E46" s="16" t="s">
        <v>122</v>
      </c>
      <c r="F46" s="16" t="s">
        <v>22</v>
      </c>
      <c r="G46" s="16" t="s">
        <v>22</v>
      </c>
      <c r="H46" s="16" t="s">
        <v>122</v>
      </c>
      <c r="I46" s="16" t="s">
        <v>122</v>
      </c>
      <c r="J46" s="16" t="s">
        <v>122</v>
      </c>
      <c r="K46" s="16" t="s">
        <v>7</v>
      </c>
    </row>
    <row r="47" ht="15.75" customHeight="1">
      <c r="B47" s="82" t="s">
        <v>59</v>
      </c>
      <c r="C47" s="83" t="s">
        <v>152</v>
      </c>
      <c r="D47" s="10" t="s">
        <v>96</v>
      </c>
      <c r="E47" s="16" t="s">
        <v>10</v>
      </c>
      <c r="F47" s="16" t="s">
        <v>22</v>
      </c>
      <c r="G47" s="16" t="s">
        <v>22</v>
      </c>
      <c r="H47" s="16" t="s">
        <v>10</v>
      </c>
      <c r="I47" s="16" t="s">
        <v>10</v>
      </c>
      <c r="J47" s="16" t="s">
        <v>10</v>
      </c>
      <c r="K47" s="16" t="s">
        <v>10</v>
      </c>
    </row>
    <row r="48" ht="15.75" customHeight="1">
      <c r="B48" s="82" t="s">
        <v>59</v>
      </c>
      <c r="C48" s="18" t="s">
        <v>153</v>
      </c>
      <c r="D48" s="10" t="s">
        <v>154</v>
      </c>
      <c r="E48" s="16" t="s">
        <v>22</v>
      </c>
      <c r="F48" s="16" t="s">
        <v>122</v>
      </c>
      <c r="G48" s="16" t="s">
        <v>122</v>
      </c>
      <c r="H48" s="16" t="s">
        <v>22</v>
      </c>
      <c r="I48" s="16" t="s">
        <v>22</v>
      </c>
      <c r="J48" s="16" t="s">
        <v>22</v>
      </c>
      <c r="K48" s="16" t="s">
        <v>22</v>
      </c>
    </row>
    <row r="49" ht="15.75" customHeight="1">
      <c r="B49" s="82" t="s">
        <v>59</v>
      </c>
      <c r="C49" s="18" t="s">
        <v>155</v>
      </c>
      <c r="D49" s="10" t="s">
        <v>156</v>
      </c>
      <c r="E49" s="16" t="s">
        <v>122</v>
      </c>
      <c r="F49" s="16" t="s">
        <v>122</v>
      </c>
      <c r="G49" s="16" t="s">
        <v>122</v>
      </c>
      <c r="H49" s="16" t="s">
        <v>22</v>
      </c>
      <c r="I49" s="16" t="s">
        <v>22</v>
      </c>
      <c r="J49" s="16" t="s">
        <v>122</v>
      </c>
      <c r="K49" s="16" t="s">
        <v>22</v>
      </c>
    </row>
    <row r="50" ht="15.75" customHeight="1">
      <c r="B50" s="82" t="s">
        <v>59</v>
      </c>
      <c r="C50" s="18" t="s">
        <v>157</v>
      </c>
      <c r="D50" s="10" t="s">
        <v>158</v>
      </c>
      <c r="E50" s="12" t="s">
        <v>37</v>
      </c>
      <c r="F50" s="12" t="s">
        <v>37</v>
      </c>
      <c r="G50" s="12" t="s">
        <v>37</v>
      </c>
      <c r="H50" s="12" t="s">
        <v>37</v>
      </c>
      <c r="I50" s="12" t="s">
        <v>37</v>
      </c>
      <c r="J50" s="12" t="s">
        <v>37</v>
      </c>
      <c r="K50" s="12" t="s">
        <v>37</v>
      </c>
    </row>
    <row r="51" ht="15.75" customHeight="1">
      <c r="B51" s="82" t="s">
        <v>59</v>
      </c>
      <c r="C51" s="21" t="s">
        <v>159</v>
      </c>
      <c r="D51" s="10" t="s">
        <v>160</v>
      </c>
      <c r="E51" s="12" t="s">
        <v>37</v>
      </c>
      <c r="F51" s="12" t="s">
        <v>37</v>
      </c>
      <c r="G51" s="12" t="s">
        <v>37</v>
      </c>
      <c r="H51" s="12" t="s">
        <v>37</v>
      </c>
      <c r="I51" s="12" t="s">
        <v>37</v>
      </c>
      <c r="J51" s="12" t="s">
        <v>37</v>
      </c>
      <c r="K51" s="12" t="s">
        <v>37</v>
      </c>
    </row>
    <row r="52" ht="15.75" customHeight="1">
      <c r="B52" s="82" t="s">
        <v>59</v>
      </c>
      <c r="C52" s="21" t="s">
        <v>161</v>
      </c>
      <c r="D52" s="10" t="s">
        <v>162</v>
      </c>
      <c r="E52" s="12" t="s">
        <v>37</v>
      </c>
      <c r="F52" s="12" t="s">
        <v>37</v>
      </c>
      <c r="G52" s="12" t="s">
        <v>37</v>
      </c>
      <c r="H52" s="12" t="s">
        <v>37</v>
      </c>
      <c r="I52" s="12" t="s">
        <v>37</v>
      </c>
      <c r="J52" s="12" t="s">
        <v>37</v>
      </c>
      <c r="K52" s="12" t="s">
        <v>37</v>
      </c>
    </row>
    <row r="53" ht="15.75" customHeight="1">
      <c r="B53" s="82" t="s">
        <v>59</v>
      </c>
      <c r="C53" s="21" t="s">
        <v>163</v>
      </c>
      <c r="D53" s="10" t="s">
        <v>164</v>
      </c>
      <c r="E53" s="12" t="s">
        <v>37</v>
      </c>
      <c r="F53" s="12" t="s">
        <v>37</v>
      </c>
      <c r="G53" s="12" t="s">
        <v>37</v>
      </c>
      <c r="H53" s="12" t="s">
        <v>37</v>
      </c>
      <c r="I53" s="12" t="s">
        <v>37</v>
      </c>
      <c r="J53" s="12" t="s">
        <v>37</v>
      </c>
      <c r="K53" s="12" t="s">
        <v>37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3">
    <mergeCell ref="B33:K33"/>
    <mergeCell ref="B34:B35"/>
    <mergeCell ref="C34:C35"/>
    <mergeCell ref="D34:D35"/>
    <mergeCell ref="E34:H34"/>
    <mergeCell ref="I34:K34"/>
    <mergeCell ref="B2:L2"/>
    <mergeCell ref="B3:B4"/>
    <mergeCell ref="C3:C4"/>
    <mergeCell ref="D3:D4"/>
    <mergeCell ref="E3:E4"/>
    <mergeCell ref="F3:I3"/>
    <mergeCell ref="J3:L3"/>
  </mergeCells>
  <dataValidations>
    <dataValidation type="list" allowBlank="1" showErrorMessage="1" sqref="F5:L28 E36:K53">
      <formula1>"Adotado,Desenvolvendo,Em Adoção,Planejado,Não Aplicável,Não Iniciado"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8.5"/>
    <col customWidth="1" min="3" max="3" width="11.63"/>
    <col customWidth="1" min="4" max="4" width="48.5"/>
    <col customWidth="1" min="5" max="5" width="32.75"/>
    <col customWidth="1" min="6" max="6" width="25.25"/>
    <col customWidth="1" min="7" max="7" width="55.75"/>
    <col customWidth="1" min="8" max="8" width="16.13"/>
    <col customWidth="1" min="9" max="9" width="25.0"/>
  </cols>
  <sheetData>
    <row r="1" ht="15.75" customHeight="1"/>
    <row r="2" ht="30.0" customHeight="1">
      <c r="A2" s="23"/>
      <c r="B2" s="84" t="s">
        <v>44</v>
      </c>
      <c r="C2" s="84" t="s">
        <v>45</v>
      </c>
      <c r="D2" s="84" t="s">
        <v>165</v>
      </c>
      <c r="E2" s="84" t="s">
        <v>166</v>
      </c>
      <c r="F2" s="84" t="s">
        <v>47</v>
      </c>
      <c r="G2" s="84" t="s">
        <v>167</v>
      </c>
      <c r="H2" s="84" t="s">
        <v>168</v>
      </c>
      <c r="I2" s="84" t="s">
        <v>169</v>
      </c>
    </row>
    <row r="3" ht="15.75" customHeight="1">
      <c r="A3" s="85"/>
      <c r="B3" s="86" t="s">
        <v>170</v>
      </c>
      <c r="C3" s="87" t="s">
        <v>171</v>
      </c>
      <c r="D3" s="87" t="s">
        <v>172</v>
      </c>
      <c r="E3" s="88" t="s">
        <v>147</v>
      </c>
      <c r="F3" s="87" t="s">
        <v>173</v>
      </c>
      <c r="G3" s="87" t="s">
        <v>174</v>
      </c>
      <c r="H3" s="89" t="s">
        <v>122</v>
      </c>
      <c r="I3" s="89" t="s">
        <v>175</v>
      </c>
    </row>
    <row r="4" ht="15.75" customHeight="1">
      <c r="A4" s="85"/>
      <c r="B4" s="11"/>
      <c r="C4" s="87" t="s">
        <v>81</v>
      </c>
      <c r="D4" s="87" t="s">
        <v>176</v>
      </c>
      <c r="E4" s="88" t="s">
        <v>148</v>
      </c>
      <c r="F4" s="87" t="s">
        <v>138</v>
      </c>
      <c r="G4" s="87" t="s">
        <v>177</v>
      </c>
      <c r="H4" s="89" t="s">
        <v>122</v>
      </c>
      <c r="I4" s="89" t="s">
        <v>178</v>
      </c>
    </row>
    <row r="5" ht="15.75" customHeight="1">
      <c r="A5" s="85"/>
      <c r="B5" s="11"/>
      <c r="C5" s="87" t="s">
        <v>81</v>
      </c>
      <c r="D5" s="87" t="s">
        <v>179</v>
      </c>
      <c r="E5" s="90" t="s">
        <v>180</v>
      </c>
      <c r="F5" s="87" t="s">
        <v>181</v>
      </c>
      <c r="G5" s="87" t="s">
        <v>182</v>
      </c>
      <c r="H5" s="89" t="s">
        <v>122</v>
      </c>
      <c r="I5" s="89" t="s">
        <v>183</v>
      </c>
    </row>
    <row r="6" ht="15.75" customHeight="1">
      <c r="A6" s="85"/>
      <c r="B6" s="11"/>
      <c r="C6" s="87" t="s">
        <v>81</v>
      </c>
      <c r="D6" s="87" t="s">
        <v>184</v>
      </c>
      <c r="E6" s="90" t="s">
        <v>185</v>
      </c>
      <c r="F6" s="87" t="s">
        <v>186</v>
      </c>
      <c r="G6" s="87" t="s">
        <v>187</v>
      </c>
      <c r="H6" s="89" t="s">
        <v>122</v>
      </c>
      <c r="I6" s="89" t="s">
        <v>188</v>
      </c>
    </row>
    <row r="7" ht="15.75" customHeight="1">
      <c r="A7" s="85"/>
      <c r="B7" s="11"/>
      <c r="C7" s="87" t="s">
        <v>189</v>
      </c>
      <c r="D7" s="87" t="s">
        <v>190</v>
      </c>
      <c r="E7" s="90" t="s">
        <v>191</v>
      </c>
      <c r="F7" s="87" t="s">
        <v>192</v>
      </c>
      <c r="G7" s="87" t="s">
        <v>193</v>
      </c>
      <c r="H7" s="89" t="s">
        <v>122</v>
      </c>
      <c r="I7" s="89" t="s">
        <v>194</v>
      </c>
    </row>
    <row r="8" ht="15.75" customHeight="1">
      <c r="A8" s="85"/>
      <c r="B8" s="11"/>
      <c r="C8" s="87" t="s">
        <v>195</v>
      </c>
      <c r="D8" s="87" t="s">
        <v>196</v>
      </c>
      <c r="E8" s="90" t="s">
        <v>111</v>
      </c>
      <c r="F8" s="87" t="s">
        <v>64</v>
      </c>
      <c r="G8" s="87" t="s">
        <v>197</v>
      </c>
      <c r="H8" s="89" t="s">
        <v>122</v>
      </c>
      <c r="I8" s="89" t="s">
        <v>198</v>
      </c>
    </row>
    <row r="9" ht="15.75" customHeight="1">
      <c r="A9" s="85"/>
      <c r="B9" s="13"/>
      <c r="C9" s="87" t="s">
        <v>195</v>
      </c>
      <c r="D9" s="87" t="s">
        <v>199</v>
      </c>
      <c r="E9" s="90" t="s">
        <v>152</v>
      </c>
      <c r="F9" s="87" t="s">
        <v>200</v>
      </c>
      <c r="G9" s="87" t="s">
        <v>201</v>
      </c>
      <c r="H9" s="89" t="s">
        <v>202</v>
      </c>
      <c r="I9" s="89" t="s">
        <v>203</v>
      </c>
    </row>
    <row r="10" ht="15.75" customHeight="1"/>
    <row r="11" ht="15.75" customHeight="1"/>
    <row r="12" ht="15.75" customHeight="1">
      <c r="D12" s="91" t="s">
        <v>204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9"/>
  </mergeCells>
  <dataValidations>
    <dataValidation type="list" allowBlank="1" showErrorMessage="1" sqref="H3:H9">
      <formula1>"Adotado,Desenvolvendo,Em Adoção,Planejado,Não Aplicável,Despriorizado"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13.0"/>
    <col customWidth="1" min="3" max="3" width="12.63"/>
    <col customWidth="1" min="4" max="4" width="22.5"/>
    <col customWidth="1" min="5" max="5" width="30.25"/>
    <col customWidth="1" min="6" max="6" width="28.88"/>
    <col customWidth="1" min="7" max="7" width="20.25"/>
    <col customWidth="1" min="8" max="8" width="28.75"/>
    <col customWidth="1" min="9" max="9" width="13.88"/>
    <col customWidth="1" min="10" max="10" width="17.25"/>
  </cols>
  <sheetData>
    <row r="1" ht="15.75" customHeight="1"/>
    <row r="2" ht="15.75" customHeight="1"/>
    <row r="3" ht="27.0" customHeight="1">
      <c r="B3" s="92" t="s">
        <v>44</v>
      </c>
      <c r="C3" s="92" t="s">
        <v>45</v>
      </c>
      <c r="D3" s="92" t="s">
        <v>205</v>
      </c>
      <c r="E3" s="92" t="s">
        <v>165</v>
      </c>
      <c r="F3" s="92" t="s">
        <v>166</v>
      </c>
      <c r="G3" s="92" t="s">
        <v>47</v>
      </c>
      <c r="H3" s="92" t="s">
        <v>167</v>
      </c>
      <c r="I3" s="92" t="s">
        <v>168</v>
      </c>
      <c r="J3" s="92" t="s">
        <v>169</v>
      </c>
    </row>
    <row r="4" ht="29.25" customHeight="1">
      <c r="B4" s="93" t="s">
        <v>58</v>
      </c>
      <c r="C4" s="94" t="s">
        <v>171</v>
      </c>
      <c r="D4" s="95" t="s">
        <v>206</v>
      </c>
      <c r="E4" s="94" t="s">
        <v>207</v>
      </c>
      <c r="F4" s="95" t="s">
        <v>147</v>
      </c>
      <c r="G4" s="95" t="s">
        <v>208</v>
      </c>
      <c r="H4" s="94" t="s">
        <v>209</v>
      </c>
      <c r="I4" s="96" t="s">
        <v>37</v>
      </c>
      <c r="J4" s="95" t="s">
        <v>210</v>
      </c>
    </row>
    <row r="5" ht="29.25" customHeight="1">
      <c r="B5" s="93" t="s">
        <v>58</v>
      </c>
      <c r="C5" s="94" t="s">
        <v>81</v>
      </c>
      <c r="D5" s="95" t="s">
        <v>50</v>
      </c>
      <c r="E5" s="94" t="s">
        <v>211</v>
      </c>
      <c r="F5" s="95" t="s">
        <v>139</v>
      </c>
      <c r="G5" s="95" t="s">
        <v>143</v>
      </c>
      <c r="H5" s="94" t="s">
        <v>212</v>
      </c>
      <c r="I5" s="96" t="s">
        <v>37</v>
      </c>
      <c r="J5" s="95" t="s">
        <v>213</v>
      </c>
    </row>
    <row r="6" ht="29.25" customHeight="1">
      <c r="B6" s="93" t="s">
        <v>58</v>
      </c>
      <c r="C6" s="94" t="s">
        <v>81</v>
      </c>
      <c r="D6" s="95" t="s">
        <v>51</v>
      </c>
      <c r="E6" s="94" t="s">
        <v>214</v>
      </c>
      <c r="F6" s="95" t="s">
        <v>139</v>
      </c>
      <c r="G6" s="95" t="s">
        <v>143</v>
      </c>
      <c r="H6" s="94" t="s">
        <v>215</v>
      </c>
      <c r="I6" s="96" t="s">
        <v>37</v>
      </c>
      <c r="J6" s="95" t="s">
        <v>213</v>
      </c>
    </row>
    <row r="7" ht="29.25" customHeight="1">
      <c r="B7" s="93" t="s">
        <v>58</v>
      </c>
      <c r="C7" s="94" t="s">
        <v>81</v>
      </c>
      <c r="D7" s="95" t="s">
        <v>52</v>
      </c>
      <c r="E7" s="94" t="s">
        <v>216</v>
      </c>
      <c r="F7" s="95" t="s">
        <v>139</v>
      </c>
      <c r="G7" s="95" t="s">
        <v>143</v>
      </c>
      <c r="H7" s="94" t="s">
        <v>217</v>
      </c>
      <c r="I7" s="96" t="s">
        <v>37</v>
      </c>
      <c r="J7" s="95" t="s">
        <v>213</v>
      </c>
    </row>
    <row r="8" ht="29.25" customHeight="1">
      <c r="B8" s="93" t="s">
        <v>58</v>
      </c>
      <c r="C8" s="94" t="s">
        <v>81</v>
      </c>
      <c r="D8" s="95" t="s">
        <v>54</v>
      </c>
      <c r="E8" s="94" t="s">
        <v>218</v>
      </c>
      <c r="F8" s="95" t="s">
        <v>139</v>
      </c>
      <c r="G8" s="95" t="s">
        <v>143</v>
      </c>
      <c r="H8" s="94" t="s">
        <v>219</v>
      </c>
      <c r="I8" s="96" t="s">
        <v>37</v>
      </c>
      <c r="J8" s="95" t="s">
        <v>213</v>
      </c>
    </row>
    <row r="9" ht="29.25" customHeight="1">
      <c r="B9" s="93" t="s">
        <v>58</v>
      </c>
      <c r="C9" s="94" t="s">
        <v>81</v>
      </c>
      <c r="D9" s="95" t="s">
        <v>55</v>
      </c>
      <c r="E9" s="94" t="s">
        <v>214</v>
      </c>
      <c r="F9" s="95" t="s">
        <v>139</v>
      </c>
      <c r="G9" s="95" t="s">
        <v>143</v>
      </c>
      <c r="H9" s="94" t="s">
        <v>220</v>
      </c>
      <c r="I9" s="96" t="s">
        <v>37</v>
      </c>
      <c r="J9" s="95" t="s">
        <v>213</v>
      </c>
    </row>
    <row r="10" ht="29.25" customHeight="1">
      <c r="B10" s="93" t="s">
        <v>58</v>
      </c>
      <c r="C10" s="94" t="s">
        <v>81</v>
      </c>
      <c r="D10" s="95" t="s">
        <v>221</v>
      </c>
      <c r="E10" s="94" t="s">
        <v>222</v>
      </c>
      <c r="F10" s="95" t="s">
        <v>223</v>
      </c>
      <c r="G10" s="95" t="s">
        <v>224</v>
      </c>
      <c r="H10" s="94" t="s">
        <v>225</v>
      </c>
      <c r="I10" s="96" t="s">
        <v>37</v>
      </c>
      <c r="J10" s="95" t="s">
        <v>188</v>
      </c>
    </row>
    <row r="11" ht="29.25" customHeight="1">
      <c r="B11" s="93" t="s">
        <v>58</v>
      </c>
      <c r="C11" s="94" t="s">
        <v>81</v>
      </c>
      <c r="D11" s="95" t="s">
        <v>206</v>
      </c>
      <c r="E11" s="94" t="s">
        <v>226</v>
      </c>
      <c r="F11" s="95" t="s">
        <v>139</v>
      </c>
      <c r="G11" s="95" t="s">
        <v>96</v>
      </c>
      <c r="H11" s="94" t="s">
        <v>227</v>
      </c>
      <c r="I11" s="96" t="s">
        <v>37</v>
      </c>
      <c r="J11" s="95" t="s">
        <v>183</v>
      </c>
    </row>
    <row r="12" ht="29.25" customHeight="1">
      <c r="B12" s="93" t="s">
        <v>58</v>
      </c>
      <c r="C12" s="94" t="s">
        <v>195</v>
      </c>
      <c r="D12" s="95" t="s">
        <v>206</v>
      </c>
      <c r="E12" s="97" t="s">
        <v>228</v>
      </c>
      <c r="F12" s="95" t="s">
        <v>111</v>
      </c>
      <c r="G12" s="95" t="s">
        <v>64</v>
      </c>
      <c r="H12" s="94" t="s">
        <v>229</v>
      </c>
      <c r="I12" s="96" t="s">
        <v>37</v>
      </c>
      <c r="J12" s="95" t="s">
        <v>198</v>
      </c>
    </row>
    <row r="13" ht="15.75" customHeight="1">
      <c r="B13" s="85"/>
      <c r="E13" s="98"/>
      <c r="H13" s="98"/>
    </row>
    <row r="14" ht="15.75" customHeight="1">
      <c r="B14" s="85"/>
      <c r="E14" s="98"/>
      <c r="H14" s="98"/>
    </row>
    <row r="15" ht="24.75" customHeight="1">
      <c r="B15" s="92" t="s">
        <v>44</v>
      </c>
      <c r="C15" s="92" t="s">
        <v>45</v>
      </c>
      <c r="D15" s="92" t="s">
        <v>205</v>
      </c>
      <c r="E15" s="99" t="s">
        <v>165</v>
      </c>
      <c r="F15" s="92" t="s">
        <v>230</v>
      </c>
      <c r="G15" s="92" t="s">
        <v>47</v>
      </c>
      <c r="H15" s="99" t="s">
        <v>231</v>
      </c>
      <c r="I15" s="92" t="s">
        <v>168</v>
      </c>
      <c r="J15" s="92" t="s">
        <v>169</v>
      </c>
    </row>
    <row r="16" ht="29.25" customHeight="1">
      <c r="B16" s="93" t="s">
        <v>94</v>
      </c>
      <c r="C16" s="94" t="s">
        <v>81</v>
      </c>
      <c r="D16" s="95" t="s">
        <v>232</v>
      </c>
      <c r="E16" s="94" t="s">
        <v>233</v>
      </c>
      <c r="F16" s="95" t="s">
        <v>147</v>
      </c>
      <c r="G16" s="95" t="s">
        <v>96</v>
      </c>
      <c r="H16" s="94" t="s">
        <v>234</v>
      </c>
      <c r="I16" s="96" t="s">
        <v>37</v>
      </c>
      <c r="J16" s="95" t="s">
        <v>198</v>
      </c>
    </row>
    <row r="17" ht="29.25" customHeight="1">
      <c r="B17" s="93" t="s">
        <v>94</v>
      </c>
      <c r="C17" s="94" t="s">
        <v>81</v>
      </c>
      <c r="D17" s="95" t="s">
        <v>221</v>
      </c>
      <c r="E17" s="94" t="s">
        <v>235</v>
      </c>
      <c r="F17" s="95" t="s">
        <v>236</v>
      </c>
      <c r="G17" s="95" t="s">
        <v>224</v>
      </c>
      <c r="H17" s="94" t="s">
        <v>237</v>
      </c>
      <c r="I17" s="96" t="s">
        <v>37</v>
      </c>
      <c r="J17" s="95" t="s">
        <v>188</v>
      </c>
    </row>
    <row r="18" ht="29.25" customHeight="1">
      <c r="B18" s="93" t="s">
        <v>94</v>
      </c>
      <c r="C18" s="94" t="s">
        <v>81</v>
      </c>
      <c r="D18" s="95" t="s">
        <v>238</v>
      </c>
      <c r="E18" s="94" t="s">
        <v>239</v>
      </c>
      <c r="F18" s="95" t="s">
        <v>236</v>
      </c>
      <c r="G18" s="95" t="s">
        <v>224</v>
      </c>
      <c r="H18" s="94" t="s">
        <v>240</v>
      </c>
      <c r="I18" s="96" t="s">
        <v>37</v>
      </c>
      <c r="J18" s="95" t="s">
        <v>188</v>
      </c>
    </row>
    <row r="19" ht="29.25" customHeight="1">
      <c r="B19" s="93" t="s">
        <v>94</v>
      </c>
      <c r="C19" s="94" t="s">
        <v>81</v>
      </c>
      <c r="D19" s="95" t="s">
        <v>206</v>
      </c>
      <c r="E19" s="94" t="s">
        <v>241</v>
      </c>
      <c r="F19" s="95" t="s">
        <v>139</v>
      </c>
      <c r="G19" s="95" t="s">
        <v>81</v>
      </c>
      <c r="H19" s="94" t="s">
        <v>242</v>
      </c>
      <c r="I19" s="96" t="s">
        <v>37</v>
      </c>
      <c r="J19" s="95" t="s">
        <v>198</v>
      </c>
    </row>
    <row r="20" ht="29.25" customHeight="1">
      <c r="B20" s="93" t="s">
        <v>94</v>
      </c>
      <c r="C20" s="94" t="s">
        <v>195</v>
      </c>
      <c r="D20" s="95" t="s">
        <v>206</v>
      </c>
      <c r="E20" s="94" t="s">
        <v>243</v>
      </c>
      <c r="F20" s="95" t="s">
        <v>83</v>
      </c>
      <c r="G20" s="95" t="s">
        <v>244</v>
      </c>
      <c r="H20" s="94" t="s">
        <v>245</v>
      </c>
      <c r="I20" s="96" t="s">
        <v>37</v>
      </c>
      <c r="J20" s="95" t="s">
        <v>198</v>
      </c>
    </row>
    <row r="21" ht="15.75" customHeight="1">
      <c r="B21" s="85"/>
      <c r="E21" s="98"/>
      <c r="H21" s="98"/>
      <c r="I21" s="100"/>
    </row>
    <row r="22" ht="15.75" customHeight="1">
      <c r="B22" s="85"/>
      <c r="E22" s="98"/>
      <c r="H22" s="98"/>
    </row>
    <row r="23" ht="27.75" customHeight="1">
      <c r="B23" s="92" t="s">
        <v>44</v>
      </c>
      <c r="C23" s="92" t="s">
        <v>45</v>
      </c>
      <c r="D23" s="92" t="s">
        <v>205</v>
      </c>
      <c r="E23" s="99" t="s">
        <v>165</v>
      </c>
      <c r="F23" s="92" t="s">
        <v>230</v>
      </c>
      <c r="G23" s="92" t="s">
        <v>47</v>
      </c>
      <c r="H23" s="99" t="s">
        <v>231</v>
      </c>
      <c r="I23" s="92" t="s">
        <v>168</v>
      </c>
      <c r="J23" s="92" t="s">
        <v>169</v>
      </c>
    </row>
    <row r="24" ht="26.25" customHeight="1">
      <c r="B24" s="93" t="s">
        <v>106</v>
      </c>
      <c r="C24" s="95" t="s">
        <v>81</v>
      </c>
      <c r="D24" s="95" t="s">
        <v>206</v>
      </c>
      <c r="E24" s="94" t="s">
        <v>246</v>
      </c>
      <c r="F24" s="95" t="s">
        <v>247</v>
      </c>
      <c r="G24" s="95" t="s">
        <v>64</v>
      </c>
      <c r="H24" s="94" t="s">
        <v>248</v>
      </c>
      <c r="I24" s="96" t="s">
        <v>37</v>
      </c>
      <c r="J24" s="95" t="s">
        <v>198</v>
      </c>
    </row>
    <row r="25" ht="26.25" customHeight="1">
      <c r="B25" s="93" t="s">
        <v>106</v>
      </c>
      <c r="C25" s="95" t="s">
        <v>81</v>
      </c>
      <c r="D25" s="95" t="s">
        <v>206</v>
      </c>
      <c r="E25" s="94" t="s">
        <v>249</v>
      </c>
      <c r="F25" s="95" t="s">
        <v>250</v>
      </c>
      <c r="G25" s="95" t="s">
        <v>81</v>
      </c>
      <c r="H25" s="94" t="s">
        <v>251</v>
      </c>
      <c r="I25" s="96" t="s">
        <v>37</v>
      </c>
      <c r="J25" s="95" t="s">
        <v>198</v>
      </c>
    </row>
    <row r="26" ht="26.25" customHeight="1">
      <c r="B26" s="93" t="s">
        <v>106</v>
      </c>
      <c r="C26" s="95" t="s">
        <v>81</v>
      </c>
      <c r="D26" s="95" t="s">
        <v>206</v>
      </c>
      <c r="E26" s="94" t="s">
        <v>252</v>
      </c>
      <c r="F26" s="95" t="s">
        <v>253</v>
      </c>
      <c r="G26" s="95" t="s">
        <v>96</v>
      </c>
      <c r="H26" s="94" t="s">
        <v>254</v>
      </c>
      <c r="I26" s="96" t="s">
        <v>37</v>
      </c>
      <c r="J26" s="95" t="s">
        <v>183</v>
      </c>
    </row>
    <row r="27" ht="26.25" customHeight="1">
      <c r="B27" s="93" t="s">
        <v>106</v>
      </c>
      <c r="C27" s="95" t="s">
        <v>255</v>
      </c>
      <c r="D27" s="95" t="s">
        <v>221</v>
      </c>
      <c r="E27" s="94" t="s">
        <v>256</v>
      </c>
      <c r="F27" s="95" t="s">
        <v>83</v>
      </c>
      <c r="G27" s="95" t="s">
        <v>244</v>
      </c>
      <c r="H27" s="94" t="s">
        <v>257</v>
      </c>
      <c r="I27" s="96" t="s">
        <v>37</v>
      </c>
      <c r="J27" s="95" t="s">
        <v>198</v>
      </c>
    </row>
    <row r="28" ht="15.75" customHeight="1">
      <c r="B28" s="85"/>
      <c r="E28" s="98"/>
      <c r="H28" s="98"/>
    </row>
    <row r="29" ht="15.75" customHeight="1">
      <c r="B29" s="85"/>
      <c r="E29" s="98"/>
      <c r="H29" s="98"/>
    </row>
    <row r="30" ht="36.0" customHeight="1">
      <c r="B30" s="92" t="s">
        <v>44</v>
      </c>
      <c r="C30" s="92" t="s">
        <v>45</v>
      </c>
      <c r="D30" s="92" t="s">
        <v>205</v>
      </c>
      <c r="E30" s="99" t="s">
        <v>165</v>
      </c>
      <c r="F30" s="92" t="s">
        <v>230</v>
      </c>
      <c r="G30" s="92" t="s">
        <v>47</v>
      </c>
      <c r="H30" s="99" t="s">
        <v>231</v>
      </c>
      <c r="I30" s="92" t="s">
        <v>168</v>
      </c>
      <c r="J30" s="92" t="s">
        <v>169</v>
      </c>
    </row>
    <row r="31" ht="26.25" customHeight="1">
      <c r="B31" s="93" t="s">
        <v>114</v>
      </c>
      <c r="C31" s="95" t="s">
        <v>81</v>
      </c>
      <c r="D31" s="95" t="s">
        <v>206</v>
      </c>
      <c r="E31" s="94" t="s">
        <v>258</v>
      </c>
      <c r="F31" s="95" t="s">
        <v>259</v>
      </c>
      <c r="G31" s="95" t="s">
        <v>81</v>
      </c>
      <c r="H31" s="94" t="s">
        <v>260</v>
      </c>
      <c r="I31" s="96" t="s">
        <v>37</v>
      </c>
      <c r="J31" s="95" t="s">
        <v>198</v>
      </c>
    </row>
    <row r="32" ht="26.25" customHeight="1">
      <c r="B32" s="93" t="s">
        <v>114</v>
      </c>
      <c r="C32" s="95" t="s">
        <v>81</v>
      </c>
      <c r="D32" s="95" t="s">
        <v>206</v>
      </c>
      <c r="E32" s="94" t="s">
        <v>261</v>
      </c>
      <c r="F32" s="95" t="s">
        <v>253</v>
      </c>
      <c r="G32" s="95" t="s">
        <v>96</v>
      </c>
      <c r="H32" s="94" t="s">
        <v>262</v>
      </c>
      <c r="I32" s="96" t="s">
        <v>37</v>
      </c>
      <c r="J32" s="95" t="s">
        <v>198</v>
      </c>
    </row>
    <row r="33" ht="26.25" customHeight="1">
      <c r="B33" s="93" t="s">
        <v>114</v>
      </c>
      <c r="C33" s="95" t="s">
        <v>189</v>
      </c>
      <c r="D33" s="95" t="s">
        <v>206</v>
      </c>
      <c r="E33" s="94" t="s">
        <v>263</v>
      </c>
      <c r="F33" s="95" t="s">
        <v>264</v>
      </c>
      <c r="G33" s="95" t="s">
        <v>145</v>
      </c>
      <c r="H33" s="94" t="s">
        <v>265</v>
      </c>
      <c r="I33" s="96" t="s">
        <v>37</v>
      </c>
      <c r="J33" s="95" t="s">
        <v>266</v>
      </c>
    </row>
    <row r="34" ht="26.25" customHeight="1">
      <c r="B34" s="93" t="s">
        <v>114</v>
      </c>
      <c r="C34" s="95" t="s">
        <v>267</v>
      </c>
      <c r="D34" s="95" t="s">
        <v>206</v>
      </c>
      <c r="E34" s="94" t="s">
        <v>268</v>
      </c>
      <c r="F34" s="95" t="s">
        <v>250</v>
      </c>
      <c r="G34" s="95" t="s">
        <v>64</v>
      </c>
      <c r="H34" s="94" t="s">
        <v>269</v>
      </c>
      <c r="I34" s="96" t="s">
        <v>37</v>
      </c>
      <c r="J34" s="95" t="s">
        <v>198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4:I12 I16:I20 I31:I34">
      <formula1>"Adotado,Desenvolvendo,Em Adoção,Planejado,Não Aplicável,Não Iniciado"</formula1>
    </dataValidation>
    <dataValidation type="list" allowBlank="1" sqref="I24:I27">
      <formula1>"Adotado,Desenvolvendo,Em Adoção,Planejado,Não Aplicável,Não Iniciado"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7.75"/>
    <col customWidth="1" min="3" max="3" width="42.38"/>
    <col customWidth="1" min="4" max="4" width="45.38"/>
    <col customWidth="1" min="5" max="5" width="46.13"/>
    <col customWidth="1" min="6" max="6" width="27.88"/>
    <col customWidth="1" min="7" max="7" width="59.5"/>
    <col customWidth="1" min="8" max="8" width="16.25"/>
    <col customWidth="1" min="9" max="9" width="25.5"/>
  </cols>
  <sheetData>
    <row r="2" ht="31.5" customHeight="1">
      <c r="A2" s="101" t="s">
        <v>270</v>
      </c>
      <c r="B2" s="102" t="s">
        <v>44</v>
      </c>
      <c r="C2" s="102" t="s">
        <v>205</v>
      </c>
      <c r="D2" s="101" t="s">
        <v>271</v>
      </c>
      <c r="E2" s="102" t="s">
        <v>166</v>
      </c>
      <c r="F2" s="102" t="s">
        <v>47</v>
      </c>
      <c r="G2" s="102" t="s">
        <v>167</v>
      </c>
      <c r="H2" s="102" t="s">
        <v>168</v>
      </c>
      <c r="I2" s="102" t="s">
        <v>169</v>
      </c>
    </row>
    <row r="3" ht="22.5" customHeight="1">
      <c r="A3" s="103"/>
      <c r="B3" s="104" t="s">
        <v>58</v>
      </c>
      <c r="C3" s="103" t="s">
        <v>272</v>
      </c>
      <c r="D3" s="105" t="s">
        <v>273</v>
      </c>
      <c r="E3" s="105" t="s">
        <v>274</v>
      </c>
      <c r="F3" s="103" t="s">
        <v>64</v>
      </c>
      <c r="G3" s="106" t="s">
        <v>275</v>
      </c>
      <c r="H3" s="107" t="s">
        <v>7</v>
      </c>
      <c r="I3" s="103" t="s">
        <v>198</v>
      </c>
    </row>
    <row r="4" ht="22.5" customHeight="1">
      <c r="A4" s="103"/>
      <c r="B4" s="104" t="s">
        <v>58</v>
      </c>
      <c r="C4" s="103" t="s">
        <v>272</v>
      </c>
      <c r="D4" s="106" t="s">
        <v>276</v>
      </c>
      <c r="E4" s="106" t="s">
        <v>63</v>
      </c>
      <c r="F4" s="103" t="s">
        <v>64</v>
      </c>
      <c r="G4" s="106" t="s">
        <v>277</v>
      </c>
      <c r="H4" s="107" t="s">
        <v>7</v>
      </c>
      <c r="I4" s="103" t="s">
        <v>198</v>
      </c>
    </row>
    <row r="5" ht="22.5" customHeight="1">
      <c r="A5" s="103"/>
      <c r="B5" s="104" t="s">
        <v>58</v>
      </c>
      <c r="C5" s="106" t="s">
        <v>278</v>
      </c>
      <c r="D5" s="106" t="s">
        <v>279</v>
      </c>
      <c r="E5" s="106" t="s">
        <v>139</v>
      </c>
      <c r="F5" s="103" t="s">
        <v>181</v>
      </c>
      <c r="G5" s="106" t="s">
        <v>280</v>
      </c>
      <c r="H5" s="107" t="s">
        <v>7</v>
      </c>
      <c r="I5" s="103" t="s">
        <v>281</v>
      </c>
    </row>
    <row r="6" ht="22.5" customHeight="1">
      <c r="A6" s="103"/>
      <c r="B6" s="104" t="s">
        <v>58</v>
      </c>
      <c r="C6" s="108" t="s">
        <v>282</v>
      </c>
      <c r="D6" s="106" t="s">
        <v>283</v>
      </c>
      <c r="E6" s="106" t="s">
        <v>76</v>
      </c>
      <c r="F6" s="103" t="s">
        <v>284</v>
      </c>
      <c r="G6" s="105" t="s">
        <v>285</v>
      </c>
      <c r="H6" s="107" t="s">
        <v>37</v>
      </c>
      <c r="I6" s="108" t="s">
        <v>286</v>
      </c>
    </row>
    <row r="7" ht="22.5" customHeight="1">
      <c r="A7" s="103"/>
      <c r="B7" s="104" t="s">
        <v>58</v>
      </c>
      <c r="C7" s="103" t="s">
        <v>287</v>
      </c>
      <c r="D7" s="106" t="s">
        <v>288</v>
      </c>
      <c r="E7" s="106" t="s">
        <v>76</v>
      </c>
      <c r="F7" s="103" t="s">
        <v>284</v>
      </c>
      <c r="G7" s="106" t="s">
        <v>289</v>
      </c>
      <c r="H7" s="107" t="s">
        <v>37</v>
      </c>
      <c r="I7" s="103" t="s">
        <v>286</v>
      </c>
    </row>
    <row r="8" ht="22.5" customHeight="1">
      <c r="A8" s="103"/>
      <c r="B8" s="104" t="s">
        <v>58</v>
      </c>
      <c r="C8" s="103" t="s">
        <v>290</v>
      </c>
      <c r="D8" s="105" t="s">
        <v>291</v>
      </c>
      <c r="E8" s="105" t="s">
        <v>292</v>
      </c>
      <c r="F8" s="103" t="s">
        <v>192</v>
      </c>
      <c r="G8" s="106" t="s">
        <v>293</v>
      </c>
      <c r="H8" s="107" t="s">
        <v>37</v>
      </c>
      <c r="I8" s="103" t="s">
        <v>294</v>
      </c>
    </row>
    <row r="9" ht="22.5" customHeight="1">
      <c r="A9" s="103"/>
      <c r="B9" s="104" t="s">
        <v>58</v>
      </c>
      <c r="C9" s="103" t="s">
        <v>295</v>
      </c>
      <c r="D9" s="106" t="s">
        <v>296</v>
      </c>
      <c r="E9" s="106" t="s">
        <v>152</v>
      </c>
      <c r="F9" s="103" t="s">
        <v>181</v>
      </c>
      <c r="G9" s="106" t="s">
        <v>297</v>
      </c>
      <c r="H9" s="107" t="s">
        <v>7</v>
      </c>
      <c r="I9" s="103" t="s">
        <v>286</v>
      </c>
    </row>
    <row r="10" ht="22.5" customHeight="1">
      <c r="A10" s="108"/>
      <c r="B10" s="109" t="s">
        <v>58</v>
      </c>
      <c r="C10" s="103" t="s">
        <v>295</v>
      </c>
      <c r="D10" s="106" t="s">
        <v>298</v>
      </c>
      <c r="E10" s="105" t="s">
        <v>299</v>
      </c>
      <c r="F10" s="103" t="s">
        <v>284</v>
      </c>
      <c r="G10" s="106" t="s">
        <v>300</v>
      </c>
      <c r="H10" s="107" t="s">
        <v>37</v>
      </c>
      <c r="I10" s="103" t="s">
        <v>301</v>
      </c>
    </row>
    <row r="11" ht="22.5" customHeight="1">
      <c r="A11" s="108"/>
      <c r="B11" s="109" t="s">
        <v>58</v>
      </c>
      <c r="C11" s="103" t="s">
        <v>189</v>
      </c>
      <c r="D11" s="105" t="s">
        <v>302</v>
      </c>
      <c r="E11" s="105" t="s">
        <v>303</v>
      </c>
      <c r="F11" s="103" t="s">
        <v>304</v>
      </c>
      <c r="G11" s="105" t="s">
        <v>305</v>
      </c>
      <c r="H11" s="107" t="s">
        <v>37</v>
      </c>
      <c r="I11" s="103" t="s">
        <v>294</v>
      </c>
    </row>
    <row r="12" ht="22.5" customHeight="1">
      <c r="A12" s="110"/>
      <c r="B12" s="111"/>
      <c r="C12" s="112"/>
      <c r="D12" s="113"/>
      <c r="E12" s="114"/>
      <c r="F12" s="112"/>
      <c r="G12" s="114"/>
      <c r="H12" s="115"/>
      <c r="I12" s="112"/>
    </row>
    <row r="13" ht="22.5" customHeight="1">
      <c r="A13" s="110"/>
      <c r="B13" s="111"/>
      <c r="C13" s="112"/>
      <c r="D13" s="113"/>
      <c r="E13" s="114"/>
      <c r="F13" s="112"/>
      <c r="G13" s="114"/>
      <c r="H13" s="115"/>
      <c r="I13" s="112"/>
    </row>
    <row r="14" ht="22.5" customHeight="1">
      <c r="A14" s="110"/>
      <c r="B14" s="111"/>
      <c r="C14" s="112"/>
      <c r="D14" s="113"/>
      <c r="E14" s="114"/>
      <c r="F14" s="112"/>
      <c r="G14" s="114"/>
      <c r="H14" s="115"/>
      <c r="I14" s="112"/>
    </row>
    <row r="15" ht="22.5" customHeight="1">
      <c r="A15" s="110"/>
      <c r="B15" s="111"/>
      <c r="C15" s="112"/>
      <c r="D15" s="113"/>
      <c r="E15" s="114"/>
      <c r="F15" s="112"/>
      <c r="G15" s="114"/>
      <c r="H15" s="115"/>
      <c r="I15" s="112"/>
    </row>
    <row r="16" ht="22.5" customHeight="1">
      <c r="A16" s="110"/>
      <c r="B16" s="111"/>
      <c r="C16" s="112"/>
      <c r="D16" s="113"/>
      <c r="E16" s="114"/>
      <c r="F16" s="112"/>
      <c r="G16" s="114"/>
      <c r="H16" s="115"/>
      <c r="I16" s="112"/>
    </row>
    <row r="17" ht="22.5" customHeight="1">
      <c r="A17" s="110"/>
      <c r="B17" s="116" t="s">
        <v>58</v>
      </c>
      <c r="C17" s="117" t="s">
        <v>272</v>
      </c>
      <c r="D17" s="118" t="s">
        <v>306</v>
      </c>
      <c r="E17" s="119" t="s">
        <v>307</v>
      </c>
      <c r="F17" s="117" t="s">
        <v>308</v>
      </c>
      <c r="G17" s="119" t="s">
        <v>309</v>
      </c>
      <c r="H17" s="115" t="s">
        <v>37</v>
      </c>
      <c r="I17" s="120" t="s">
        <v>310</v>
      </c>
    </row>
    <row r="18" ht="22.5" customHeight="1">
      <c r="A18" s="121"/>
      <c r="B18" s="122" t="s">
        <v>94</v>
      </c>
      <c r="C18" s="121" t="s">
        <v>272</v>
      </c>
      <c r="D18" s="123" t="s">
        <v>311</v>
      </c>
      <c r="E18" s="124" t="s">
        <v>312</v>
      </c>
      <c r="F18" s="121" t="s">
        <v>96</v>
      </c>
      <c r="G18" s="123" t="s">
        <v>313</v>
      </c>
      <c r="H18" s="125" t="s">
        <v>37</v>
      </c>
      <c r="I18" s="121" t="s">
        <v>314</v>
      </c>
    </row>
    <row r="19" ht="22.5" customHeight="1">
      <c r="A19" s="121"/>
      <c r="B19" s="122" t="s">
        <v>94</v>
      </c>
      <c r="C19" s="121" t="s">
        <v>272</v>
      </c>
      <c r="D19" s="123" t="s">
        <v>315</v>
      </c>
      <c r="E19" s="124" t="s">
        <v>316</v>
      </c>
      <c r="F19" s="121" t="s">
        <v>192</v>
      </c>
      <c r="G19" s="123" t="s">
        <v>317</v>
      </c>
      <c r="H19" s="125" t="s">
        <v>37</v>
      </c>
      <c r="I19" s="121" t="s">
        <v>310</v>
      </c>
    </row>
    <row r="20" ht="22.5" customHeight="1">
      <c r="A20" s="121"/>
      <c r="B20" s="122" t="s">
        <v>94</v>
      </c>
      <c r="C20" s="121" t="s">
        <v>272</v>
      </c>
      <c r="D20" s="123" t="s">
        <v>318</v>
      </c>
      <c r="E20" s="123" t="s">
        <v>103</v>
      </c>
      <c r="F20" s="121" t="s">
        <v>64</v>
      </c>
      <c r="G20" s="123" t="s">
        <v>319</v>
      </c>
      <c r="H20" s="125" t="s">
        <v>37</v>
      </c>
      <c r="I20" s="121" t="s">
        <v>198</v>
      </c>
    </row>
    <row r="21" ht="22.5" customHeight="1">
      <c r="A21" s="126"/>
      <c r="B21" s="127" t="s">
        <v>106</v>
      </c>
      <c r="C21" s="126" t="s">
        <v>272</v>
      </c>
      <c r="D21" s="128" t="s">
        <v>320</v>
      </c>
      <c r="E21" s="129" t="s">
        <v>321</v>
      </c>
      <c r="F21" s="126" t="s">
        <v>64</v>
      </c>
      <c r="G21" s="128" t="s">
        <v>322</v>
      </c>
      <c r="H21" s="130" t="s">
        <v>37</v>
      </c>
      <c r="I21" s="126" t="s">
        <v>198</v>
      </c>
    </row>
    <row r="22" ht="22.5" customHeight="1">
      <c r="A22" s="126"/>
      <c r="B22" s="127" t="s">
        <v>106</v>
      </c>
      <c r="C22" s="126" t="s">
        <v>272</v>
      </c>
      <c r="D22" s="128" t="s">
        <v>323</v>
      </c>
      <c r="E22" s="129" t="s">
        <v>324</v>
      </c>
      <c r="F22" s="126" t="s">
        <v>96</v>
      </c>
      <c r="G22" s="128" t="s">
        <v>325</v>
      </c>
      <c r="H22" s="130" t="s">
        <v>37</v>
      </c>
      <c r="I22" s="126" t="s">
        <v>183</v>
      </c>
    </row>
    <row r="23" ht="22.5" customHeight="1">
      <c r="A23" s="131"/>
      <c r="B23" s="132" t="s">
        <v>106</v>
      </c>
      <c r="C23" s="126" t="s">
        <v>272</v>
      </c>
      <c r="D23" s="129" t="s">
        <v>326</v>
      </c>
      <c r="E23" s="129" t="s">
        <v>303</v>
      </c>
      <c r="F23" s="126" t="s">
        <v>304</v>
      </c>
      <c r="G23" s="129" t="s">
        <v>327</v>
      </c>
      <c r="H23" s="130" t="s">
        <v>37</v>
      </c>
      <c r="I23" s="126" t="s">
        <v>294</v>
      </c>
    </row>
    <row r="24" ht="22.5" customHeight="1">
      <c r="A24" s="126"/>
      <c r="B24" s="127" t="s">
        <v>114</v>
      </c>
      <c r="C24" s="126" t="s">
        <v>272</v>
      </c>
      <c r="D24" s="128" t="s">
        <v>328</v>
      </c>
      <c r="E24" s="129" t="s">
        <v>329</v>
      </c>
      <c r="F24" s="126" t="s">
        <v>308</v>
      </c>
      <c r="G24" s="128" t="s">
        <v>330</v>
      </c>
      <c r="H24" s="130" t="s">
        <v>37</v>
      </c>
      <c r="I24" s="126" t="s">
        <v>310</v>
      </c>
    </row>
    <row r="25" ht="22.5" customHeight="1">
      <c r="A25" s="126"/>
      <c r="B25" s="127" t="s">
        <v>114</v>
      </c>
      <c r="C25" s="126" t="s">
        <v>272</v>
      </c>
      <c r="D25" s="128" t="s">
        <v>331</v>
      </c>
      <c r="E25" s="128" t="s">
        <v>332</v>
      </c>
      <c r="F25" s="126" t="s">
        <v>333</v>
      </c>
      <c r="G25" s="128" t="s">
        <v>334</v>
      </c>
      <c r="H25" s="130" t="s">
        <v>37</v>
      </c>
      <c r="I25" s="126" t="s">
        <v>198</v>
      </c>
    </row>
    <row r="26" ht="22.5" customHeight="1">
      <c r="A26" s="126"/>
      <c r="B26" s="127" t="s">
        <v>114</v>
      </c>
      <c r="C26" s="126" t="s">
        <v>272</v>
      </c>
      <c r="D26" s="128" t="s">
        <v>335</v>
      </c>
      <c r="E26" s="128" t="s">
        <v>111</v>
      </c>
      <c r="F26" s="126" t="s">
        <v>64</v>
      </c>
      <c r="G26" s="128" t="s">
        <v>336</v>
      </c>
      <c r="H26" s="130" t="s">
        <v>37</v>
      </c>
      <c r="I26" s="126" t="s">
        <v>198</v>
      </c>
    </row>
    <row r="27">
      <c r="A27" s="133"/>
      <c r="B27" s="133"/>
    </row>
    <row r="28">
      <c r="A28" s="133"/>
      <c r="B28" s="133"/>
    </row>
  </sheetData>
  <dataValidations>
    <dataValidation type="list" allowBlank="1" sqref="H3:H26">
      <formula1>"Adotado,Desenvolvendo,Em Adoção,Planejado,Não Aplicável,Não Iniciado"</formula1>
    </dataValidation>
    <dataValidation type="list" allowBlank="1" showDropDown="1" showErrorMessage="1" sqref="B3:B26">
      <formula1>"TRI 1,TRI 2,TRI 3,TRI 4"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12.5"/>
    <col customWidth="1" min="3" max="3" width="38.13"/>
    <col customWidth="1" min="4" max="4" width="72.13"/>
    <col customWidth="1" min="5" max="5" width="73.88"/>
    <col customWidth="1" min="6" max="6" width="39.0"/>
    <col customWidth="1" min="7" max="7" width="8.13"/>
    <col customWidth="1" min="8" max="8" width="15.88"/>
    <col customWidth="1" min="9" max="10" width="10.63"/>
    <col customWidth="1" min="11" max="11" width="17.38"/>
  </cols>
  <sheetData>
    <row r="1" ht="35.25" customHeight="1">
      <c r="A1" s="134" t="s">
        <v>337</v>
      </c>
      <c r="B1" s="135"/>
      <c r="C1" s="135"/>
      <c r="D1" s="135"/>
      <c r="E1" s="135"/>
      <c r="F1" s="135"/>
      <c r="G1" s="135"/>
      <c r="H1" s="136"/>
      <c r="I1" s="137"/>
      <c r="J1" s="138" t="s">
        <v>338</v>
      </c>
      <c r="K1" s="136"/>
    </row>
    <row r="2" ht="27.0" customHeight="1">
      <c r="A2" s="139"/>
      <c r="B2" s="140"/>
      <c r="C2" s="140"/>
      <c r="D2" s="140"/>
      <c r="E2" s="140"/>
      <c r="F2" s="140"/>
      <c r="G2" s="140"/>
      <c r="H2" s="141"/>
      <c r="I2" s="142"/>
      <c r="J2" s="139"/>
      <c r="K2" s="141"/>
    </row>
    <row r="3" ht="35.25" customHeight="1">
      <c r="A3" s="143" t="s">
        <v>339</v>
      </c>
      <c r="B3" s="144" t="s">
        <v>340</v>
      </c>
      <c r="C3" s="144" t="s">
        <v>341</v>
      </c>
      <c r="D3" s="145" t="s">
        <v>342</v>
      </c>
      <c r="E3" s="145" t="s">
        <v>343</v>
      </c>
      <c r="F3" s="144" t="s">
        <v>344</v>
      </c>
      <c r="G3" s="144" t="s">
        <v>345</v>
      </c>
      <c r="H3" s="144" t="s">
        <v>346</v>
      </c>
      <c r="I3" s="146"/>
      <c r="J3" s="147" t="s">
        <v>345</v>
      </c>
      <c r="K3" s="148" t="s">
        <v>346</v>
      </c>
    </row>
    <row r="4" ht="35.25" customHeight="1">
      <c r="A4" s="149" t="s">
        <v>347</v>
      </c>
      <c r="B4" s="150" t="s">
        <v>62</v>
      </c>
      <c r="C4" s="151" t="s">
        <v>63</v>
      </c>
      <c r="D4" s="152" t="s">
        <v>348</v>
      </c>
      <c r="E4" s="152" t="s">
        <v>349</v>
      </c>
      <c r="F4" s="153" t="s">
        <v>350</v>
      </c>
      <c r="G4" s="154">
        <v>1.5</v>
      </c>
      <c r="H4" s="155" t="str">
        <f t="shared" ref="H4:H5" si="1">IF(G4=1,"PLANEJADO",IF(G4=1.5,"DESENVOLVENDO",IF(G4=2,"EM ADOÇÃO",IF(G4=3,"ADOTADO",""))))</f>
        <v>DESENVOLVENDO</v>
      </c>
      <c r="I4" s="156"/>
      <c r="J4" s="157">
        <v>1.0</v>
      </c>
      <c r="K4" s="157" t="s">
        <v>351</v>
      </c>
    </row>
    <row r="5" ht="35.25" customHeight="1">
      <c r="A5" s="13"/>
      <c r="B5" s="150" t="s">
        <v>65</v>
      </c>
      <c r="C5" s="151" t="s">
        <v>274</v>
      </c>
      <c r="D5" s="152" t="s">
        <v>352</v>
      </c>
      <c r="E5" s="152" t="s">
        <v>353</v>
      </c>
      <c r="F5" s="158"/>
      <c r="G5" s="154">
        <v>1.5</v>
      </c>
      <c r="H5" s="155" t="str">
        <f t="shared" si="1"/>
        <v>DESENVOLVENDO</v>
      </c>
      <c r="I5" s="159"/>
      <c r="J5" s="160">
        <v>46143.0</v>
      </c>
      <c r="K5" s="157" t="s">
        <v>354</v>
      </c>
    </row>
    <row r="6" ht="35.25" customHeight="1">
      <c r="A6" s="161"/>
      <c r="B6" s="161"/>
      <c r="C6" s="161"/>
      <c r="D6" s="162"/>
      <c r="E6" s="162"/>
      <c r="F6" s="161"/>
      <c r="G6" s="161"/>
      <c r="I6" s="156"/>
      <c r="J6" s="157">
        <v>2.0</v>
      </c>
      <c r="K6" s="157" t="s">
        <v>355</v>
      </c>
    </row>
    <row r="7" ht="35.25" customHeight="1">
      <c r="A7" s="163" t="s">
        <v>339</v>
      </c>
      <c r="B7" s="163" t="s">
        <v>340</v>
      </c>
      <c r="C7" s="163" t="s">
        <v>341</v>
      </c>
      <c r="D7" s="164" t="s">
        <v>342</v>
      </c>
      <c r="E7" s="164" t="s">
        <v>343</v>
      </c>
      <c r="F7" s="163" t="s">
        <v>344</v>
      </c>
      <c r="G7" s="163" t="s">
        <v>345</v>
      </c>
      <c r="H7" s="163" t="s">
        <v>346</v>
      </c>
      <c r="I7" s="156"/>
      <c r="J7" s="157">
        <v>3.0</v>
      </c>
      <c r="K7" s="157" t="s">
        <v>356</v>
      </c>
    </row>
    <row r="8">
      <c r="A8" s="165" t="s">
        <v>357</v>
      </c>
      <c r="B8" s="166" t="s">
        <v>57</v>
      </c>
      <c r="C8" s="167" t="s">
        <v>358</v>
      </c>
      <c r="D8" s="168" t="s">
        <v>359</v>
      </c>
      <c r="E8" s="168" t="s">
        <v>360</v>
      </c>
      <c r="F8" s="158"/>
      <c r="G8" s="157">
        <v>1.0</v>
      </c>
      <c r="H8" s="155" t="str">
        <f t="shared" ref="H8:H18" si="2">IF(G8=1,"PLANEJADO",IF(G8=1.5,"DESENVOLVENDO",IF(G8=2,"EM ADOÇÃO",IF(G8=3,"ADOTADO",""))))</f>
        <v>PLANEJADO</v>
      </c>
    </row>
    <row r="9">
      <c r="A9" s="11"/>
      <c r="B9" s="166" t="s">
        <v>67</v>
      </c>
      <c r="C9" s="169" t="s">
        <v>361</v>
      </c>
      <c r="D9" s="168" t="s">
        <v>362</v>
      </c>
      <c r="E9" s="152" t="s">
        <v>363</v>
      </c>
      <c r="F9" s="158"/>
      <c r="G9" s="157">
        <v>1.0</v>
      </c>
      <c r="H9" s="155" t="str">
        <f t="shared" si="2"/>
        <v>PLANEJADO</v>
      </c>
    </row>
    <row r="10">
      <c r="A10" s="11"/>
      <c r="B10" s="166" t="s">
        <v>70</v>
      </c>
      <c r="C10" s="169" t="s">
        <v>364</v>
      </c>
      <c r="D10" s="168" t="s">
        <v>365</v>
      </c>
      <c r="E10" s="168" t="s">
        <v>366</v>
      </c>
      <c r="F10" s="158"/>
      <c r="G10" s="157">
        <v>1.0</v>
      </c>
      <c r="H10" s="155" t="str">
        <f t="shared" si="2"/>
        <v>PLANEJADO</v>
      </c>
    </row>
    <row r="11">
      <c r="A11" s="11"/>
      <c r="B11" s="166" t="s">
        <v>75</v>
      </c>
      <c r="C11" s="169" t="s">
        <v>76</v>
      </c>
      <c r="D11" s="168" t="s">
        <v>367</v>
      </c>
      <c r="E11" s="168" t="s">
        <v>368</v>
      </c>
      <c r="F11" s="158"/>
      <c r="G11" s="157">
        <v>1.0</v>
      </c>
      <c r="H11" s="155" t="str">
        <f t="shared" si="2"/>
        <v>PLANEJADO</v>
      </c>
    </row>
    <row r="12">
      <c r="A12" s="11"/>
      <c r="B12" s="166" t="s">
        <v>72</v>
      </c>
      <c r="C12" s="167" t="s">
        <v>369</v>
      </c>
      <c r="D12" s="168" t="s">
        <v>370</v>
      </c>
      <c r="E12" s="168" t="s">
        <v>371</v>
      </c>
      <c r="F12" s="158"/>
      <c r="G12" s="157">
        <v>1.0</v>
      </c>
      <c r="H12" s="155" t="str">
        <f t="shared" si="2"/>
        <v>PLANEJADO</v>
      </c>
    </row>
    <row r="13" ht="23.25" customHeight="1">
      <c r="A13" s="11"/>
      <c r="B13" s="166" t="s">
        <v>78</v>
      </c>
      <c r="C13" s="169" t="s">
        <v>76</v>
      </c>
      <c r="D13" s="152" t="s">
        <v>372</v>
      </c>
      <c r="E13" s="168" t="s">
        <v>373</v>
      </c>
      <c r="F13" s="158"/>
      <c r="G13" s="157">
        <v>1.0</v>
      </c>
      <c r="H13" s="155" t="str">
        <f t="shared" si="2"/>
        <v>PLANEJADO</v>
      </c>
    </row>
    <row r="14">
      <c r="A14" s="11"/>
      <c r="B14" s="166" t="s">
        <v>79</v>
      </c>
      <c r="C14" s="169" t="s">
        <v>80</v>
      </c>
      <c r="D14" s="168" t="s">
        <v>374</v>
      </c>
      <c r="E14" s="168" t="s">
        <v>375</v>
      </c>
      <c r="F14" s="158"/>
      <c r="G14" s="157">
        <v>1.0</v>
      </c>
      <c r="H14" s="155" t="str">
        <f t="shared" si="2"/>
        <v>PLANEJADO</v>
      </c>
    </row>
    <row r="15">
      <c r="A15" s="11"/>
      <c r="B15" s="166" t="s">
        <v>82</v>
      </c>
      <c r="C15" s="170" t="s">
        <v>83</v>
      </c>
      <c r="D15" s="168" t="s">
        <v>376</v>
      </c>
      <c r="E15" s="168" t="s">
        <v>377</v>
      </c>
      <c r="F15" s="158"/>
      <c r="G15" s="157">
        <v>1.0</v>
      </c>
      <c r="H15" s="155" t="str">
        <f t="shared" si="2"/>
        <v>PLANEJADO</v>
      </c>
    </row>
    <row r="16">
      <c r="A16" s="11"/>
      <c r="B16" s="166" t="s">
        <v>85</v>
      </c>
      <c r="C16" s="167" t="s">
        <v>378</v>
      </c>
      <c r="D16" s="168" t="s">
        <v>379</v>
      </c>
      <c r="E16" s="168" t="s">
        <v>380</v>
      </c>
      <c r="F16" s="158"/>
      <c r="G16" s="157">
        <v>1.0</v>
      </c>
      <c r="H16" s="155" t="str">
        <f t="shared" si="2"/>
        <v>PLANEJADO</v>
      </c>
    </row>
    <row r="17">
      <c r="A17" s="11"/>
      <c r="B17" s="166" t="s">
        <v>87</v>
      </c>
      <c r="C17" s="170" t="s">
        <v>88</v>
      </c>
      <c r="D17" s="168" t="s">
        <v>381</v>
      </c>
      <c r="E17" s="168" t="s">
        <v>382</v>
      </c>
      <c r="F17" s="158"/>
      <c r="G17" s="157">
        <v>1.0</v>
      </c>
      <c r="H17" s="155" t="str">
        <f t="shared" si="2"/>
        <v>PLANEJADO</v>
      </c>
    </row>
    <row r="18">
      <c r="A18" s="13"/>
      <c r="B18" s="166" t="s">
        <v>90</v>
      </c>
      <c r="C18" s="170" t="s">
        <v>91</v>
      </c>
      <c r="D18" s="152" t="s">
        <v>383</v>
      </c>
      <c r="E18" s="168" t="s">
        <v>384</v>
      </c>
      <c r="F18" s="158"/>
      <c r="G18" s="157">
        <v>1.0</v>
      </c>
      <c r="H18" s="155" t="str">
        <f t="shared" si="2"/>
        <v>PLANEJADO</v>
      </c>
    </row>
    <row r="19">
      <c r="G19" s="171"/>
    </row>
    <row r="20" ht="35.25" customHeight="1">
      <c r="A20" s="172" t="s">
        <v>339</v>
      </c>
      <c r="B20" s="172" t="s">
        <v>340</v>
      </c>
      <c r="C20" s="172" t="s">
        <v>341</v>
      </c>
      <c r="D20" s="173" t="s">
        <v>342</v>
      </c>
      <c r="E20" s="173" t="s">
        <v>343</v>
      </c>
      <c r="F20" s="172" t="s">
        <v>344</v>
      </c>
      <c r="G20" s="172" t="s">
        <v>345</v>
      </c>
      <c r="H20" s="172" t="s">
        <v>346</v>
      </c>
    </row>
    <row r="21">
      <c r="A21" s="174" t="s">
        <v>385</v>
      </c>
      <c r="B21" s="166" t="s">
        <v>57</v>
      </c>
      <c r="C21" s="167" t="s">
        <v>386</v>
      </c>
      <c r="D21" s="168" t="s">
        <v>359</v>
      </c>
      <c r="E21" s="168" t="s">
        <v>360</v>
      </c>
      <c r="F21" s="158"/>
      <c r="G21" s="154">
        <v>1.0</v>
      </c>
      <c r="H21" s="155" t="str">
        <f t="shared" ref="H21:H31" si="3">IF(G21=1,"PLANEJADO",IF(G21=1.5,"DESENVOLVENDO",IF(G21=2,"EM ADOÇÃO",IF(G21=3,"ADOTADO",""))))</f>
        <v>PLANEJADO</v>
      </c>
    </row>
    <row r="22">
      <c r="A22" s="11"/>
      <c r="B22" s="166" t="s">
        <v>67</v>
      </c>
      <c r="C22" s="169" t="s">
        <v>387</v>
      </c>
      <c r="D22" s="168" t="s">
        <v>362</v>
      </c>
      <c r="E22" s="152" t="s">
        <v>363</v>
      </c>
      <c r="F22" s="158"/>
      <c r="G22" s="154">
        <v>1.0</v>
      </c>
      <c r="H22" s="155" t="str">
        <f t="shared" si="3"/>
        <v>PLANEJADO</v>
      </c>
    </row>
    <row r="23">
      <c r="A23" s="11"/>
      <c r="B23" s="166" t="s">
        <v>70</v>
      </c>
      <c r="C23" s="169" t="s">
        <v>388</v>
      </c>
      <c r="D23" s="168" t="s">
        <v>365</v>
      </c>
      <c r="E23" s="168" t="s">
        <v>366</v>
      </c>
      <c r="F23" s="158"/>
      <c r="G23" s="154">
        <v>1.0</v>
      </c>
      <c r="H23" s="155" t="str">
        <f t="shared" si="3"/>
        <v>PLANEJADO</v>
      </c>
    </row>
    <row r="24">
      <c r="A24" s="11"/>
      <c r="B24" s="166" t="s">
        <v>75</v>
      </c>
      <c r="C24" s="169" t="s">
        <v>76</v>
      </c>
      <c r="D24" s="168" t="s">
        <v>367</v>
      </c>
      <c r="E24" s="168" t="s">
        <v>368</v>
      </c>
      <c r="F24" s="158"/>
      <c r="G24" s="154">
        <v>1.0</v>
      </c>
      <c r="H24" s="155" t="str">
        <f t="shared" si="3"/>
        <v>PLANEJADO</v>
      </c>
    </row>
    <row r="25">
      <c r="A25" s="11"/>
      <c r="B25" s="166" t="s">
        <v>72</v>
      </c>
      <c r="C25" s="167" t="s">
        <v>389</v>
      </c>
      <c r="D25" s="168" t="s">
        <v>370</v>
      </c>
      <c r="E25" s="168" t="s">
        <v>371</v>
      </c>
      <c r="F25" s="158"/>
      <c r="G25" s="154">
        <v>1.0</v>
      </c>
      <c r="H25" s="155" t="str">
        <f t="shared" si="3"/>
        <v>PLANEJADO</v>
      </c>
    </row>
    <row r="26">
      <c r="A26" s="11"/>
      <c r="B26" s="166" t="s">
        <v>78</v>
      </c>
      <c r="C26" s="169" t="s">
        <v>76</v>
      </c>
      <c r="D26" s="152" t="s">
        <v>372</v>
      </c>
      <c r="E26" s="168" t="s">
        <v>373</v>
      </c>
      <c r="F26" s="158"/>
      <c r="G26" s="154">
        <v>1.0</v>
      </c>
      <c r="H26" s="155" t="str">
        <f t="shared" si="3"/>
        <v>PLANEJADO</v>
      </c>
    </row>
    <row r="27">
      <c r="A27" s="11"/>
      <c r="B27" s="166" t="s">
        <v>79</v>
      </c>
      <c r="C27" s="169" t="s">
        <v>80</v>
      </c>
      <c r="D27" s="168" t="s">
        <v>374</v>
      </c>
      <c r="E27" s="168" t="s">
        <v>375</v>
      </c>
      <c r="F27" s="158"/>
      <c r="G27" s="154">
        <v>1.0</v>
      </c>
      <c r="H27" s="155" t="str">
        <f t="shared" si="3"/>
        <v>PLANEJADO</v>
      </c>
    </row>
    <row r="28">
      <c r="A28" s="11"/>
      <c r="B28" s="166" t="s">
        <v>82</v>
      </c>
      <c r="C28" s="170" t="s">
        <v>83</v>
      </c>
      <c r="D28" s="168" t="s">
        <v>376</v>
      </c>
      <c r="E28" s="168" t="s">
        <v>377</v>
      </c>
      <c r="F28" s="158"/>
      <c r="G28" s="154">
        <v>1.0</v>
      </c>
      <c r="H28" s="155" t="str">
        <f t="shared" si="3"/>
        <v>PLANEJADO</v>
      </c>
    </row>
    <row r="29">
      <c r="A29" s="11"/>
      <c r="B29" s="166" t="s">
        <v>85</v>
      </c>
      <c r="C29" s="167" t="s">
        <v>390</v>
      </c>
      <c r="D29" s="168" t="s">
        <v>379</v>
      </c>
      <c r="E29" s="168" t="s">
        <v>380</v>
      </c>
      <c r="F29" s="158"/>
      <c r="G29" s="154">
        <v>1.0</v>
      </c>
      <c r="H29" s="155" t="str">
        <f t="shared" si="3"/>
        <v>PLANEJADO</v>
      </c>
    </row>
    <row r="30">
      <c r="A30" s="11"/>
      <c r="B30" s="166" t="s">
        <v>87</v>
      </c>
      <c r="C30" s="170" t="s">
        <v>88</v>
      </c>
      <c r="D30" s="168" t="s">
        <v>381</v>
      </c>
      <c r="E30" s="168" t="s">
        <v>382</v>
      </c>
      <c r="F30" s="158"/>
      <c r="G30" s="154">
        <v>1.0</v>
      </c>
      <c r="H30" s="155" t="str">
        <f t="shared" si="3"/>
        <v>PLANEJADO</v>
      </c>
    </row>
    <row r="31">
      <c r="A31" s="13"/>
      <c r="B31" s="166" t="s">
        <v>90</v>
      </c>
      <c r="C31" s="170" t="s">
        <v>91</v>
      </c>
      <c r="D31" s="152" t="s">
        <v>383</v>
      </c>
      <c r="E31" s="168" t="s">
        <v>384</v>
      </c>
      <c r="F31" s="158"/>
      <c r="G31" s="154">
        <v>1.0</v>
      </c>
      <c r="H31" s="155" t="str">
        <f t="shared" si="3"/>
        <v>PLANEJADO</v>
      </c>
    </row>
    <row r="32">
      <c r="G32" s="171"/>
    </row>
    <row r="33" ht="36.0" customHeight="1">
      <c r="A33" s="163" t="s">
        <v>339</v>
      </c>
      <c r="B33" s="163" t="s">
        <v>340</v>
      </c>
      <c r="C33" s="163" t="s">
        <v>341</v>
      </c>
      <c r="D33" s="164" t="s">
        <v>342</v>
      </c>
      <c r="E33" s="164" t="s">
        <v>343</v>
      </c>
      <c r="F33" s="163" t="s">
        <v>344</v>
      </c>
      <c r="G33" s="163" t="s">
        <v>345</v>
      </c>
      <c r="H33" s="163" t="s">
        <v>346</v>
      </c>
    </row>
    <row r="34">
      <c r="A34" s="165" t="s">
        <v>391</v>
      </c>
      <c r="B34" s="166" t="s">
        <v>57</v>
      </c>
      <c r="C34" s="167" t="s">
        <v>392</v>
      </c>
      <c r="D34" s="168" t="s">
        <v>359</v>
      </c>
      <c r="E34" s="168" t="s">
        <v>360</v>
      </c>
      <c r="F34" s="158"/>
      <c r="G34" s="154">
        <v>1.0</v>
      </c>
      <c r="H34" s="155" t="str">
        <f t="shared" ref="H34:H44" si="4">IF(G34=1,"PLANEJADO",IF(G34=1.5,"DESENVOLVENDO",IF(G34=2,"EM ADOÇÃO",IF(G34=3,"ADOTADO",""))))</f>
        <v>PLANEJADO</v>
      </c>
    </row>
    <row r="35">
      <c r="A35" s="11"/>
      <c r="B35" s="166" t="s">
        <v>67</v>
      </c>
      <c r="C35" s="169" t="s">
        <v>393</v>
      </c>
      <c r="D35" s="168" t="s">
        <v>362</v>
      </c>
      <c r="E35" s="152" t="s">
        <v>363</v>
      </c>
      <c r="F35" s="158"/>
      <c r="G35" s="154">
        <v>1.0</v>
      </c>
      <c r="H35" s="155" t="str">
        <f t="shared" si="4"/>
        <v>PLANEJADO</v>
      </c>
    </row>
    <row r="36">
      <c r="A36" s="11"/>
      <c r="B36" s="166" t="s">
        <v>70</v>
      </c>
      <c r="C36" s="169" t="s">
        <v>394</v>
      </c>
      <c r="D36" s="168" t="s">
        <v>365</v>
      </c>
      <c r="E36" s="168" t="s">
        <v>366</v>
      </c>
      <c r="F36" s="158"/>
      <c r="G36" s="154">
        <v>1.0</v>
      </c>
      <c r="H36" s="155" t="str">
        <f t="shared" si="4"/>
        <v>PLANEJADO</v>
      </c>
    </row>
    <row r="37">
      <c r="A37" s="11"/>
      <c r="B37" s="166" t="s">
        <v>75</v>
      </c>
      <c r="C37" s="169" t="s">
        <v>76</v>
      </c>
      <c r="D37" s="168" t="s">
        <v>367</v>
      </c>
      <c r="E37" s="168" t="s">
        <v>368</v>
      </c>
      <c r="F37" s="158"/>
      <c r="G37" s="154">
        <v>1.0</v>
      </c>
      <c r="H37" s="155" t="str">
        <f t="shared" si="4"/>
        <v>PLANEJADO</v>
      </c>
    </row>
    <row r="38">
      <c r="A38" s="11"/>
      <c r="B38" s="166" t="s">
        <v>72</v>
      </c>
      <c r="C38" s="167" t="s">
        <v>395</v>
      </c>
      <c r="D38" s="168" t="s">
        <v>370</v>
      </c>
      <c r="E38" s="168" t="s">
        <v>371</v>
      </c>
      <c r="F38" s="158"/>
      <c r="G38" s="154">
        <v>1.0</v>
      </c>
      <c r="H38" s="155" t="str">
        <f t="shared" si="4"/>
        <v>PLANEJADO</v>
      </c>
    </row>
    <row r="39">
      <c r="A39" s="11"/>
      <c r="B39" s="166" t="s">
        <v>78</v>
      </c>
      <c r="C39" s="169" t="s">
        <v>76</v>
      </c>
      <c r="D39" s="152" t="s">
        <v>372</v>
      </c>
      <c r="E39" s="168" t="s">
        <v>373</v>
      </c>
      <c r="F39" s="158"/>
      <c r="G39" s="154">
        <v>1.0</v>
      </c>
      <c r="H39" s="155" t="str">
        <f t="shared" si="4"/>
        <v>PLANEJADO</v>
      </c>
    </row>
    <row r="40">
      <c r="A40" s="11"/>
      <c r="B40" s="166" t="s">
        <v>79</v>
      </c>
      <c r="C40" s="169" t="s">
        <v>80</v>
      </c>
      <c r="D40" s="168" t="s">
        <v>374</v>
      </c>
      <c r="E40" s="168" t="s">
        <v>375</v>
      </c>
      <c r="F40" s="158"/>
      <c r="G40" s="154">
        <v>1.0</v>
      </c>
      <c r="H40" s="155" t="str">
        <f t="shared" si="4"/>
        <v>PLANEJADO</v>
      </c>
    </row>
    <row r="41">
      <c r="A41" s="11"/>
      <c r="B41" s="166" t="s">
        <v>82</v>
      </c>
      <c r="C41" s="170" t="s">
        <v>83</v>
      </c>
      <c r="D41" s="168" t="s">
        <v>376</v>
      </c>
      <c r="E41" s="168" t="s">
        <v>377</v>
      </c>
      <c r="F41" s="158"/>
      <c r="G41" s="154">
        <v>1.0</v>
      </c>
      <c r="H41" s="155" t="str">
        <f t="shared" si="4"/>
        <v>PLANEJADO</v>
      </c>
    </row>
    <row r="42">
      <c r="A42" s="11"/>
      <c r="B42" s="166" t="s">
        <v>85</v>
      </c>
      <c r="C42" s="167" t="s">
        <v>396</v>
      </c>
      <c r="D42" s="168" t="s">
        <v>379</v>
      </c>
      <c r="E42" s="168" t="s">
        <v>380</v>
      </c>
      <c r="F42" s="158"/>
      <c r="G42" s="154">
        <v>1.0</v>
      </c>
      <c r="H42" s="155" t="str">
        <f t="shared" si="4"/>
        <v>PLANEJADO</v>
      </c>
    </row>
    <row r="43">
      <c r="A43" s="11"/>
      <c r="B43" s="166" t="s">
        <v>87</v>
      </c>
      <c r="C43" s="170" t="s">
        <v>88</v>
      </c>
      <c r="D43" s="168" t="s">
        <v>381</v>
      </c>
      <c r="E43" s="168" t="s">
        <v>382</v>
      </c>
      <c r="F43" s="158"/>
      <c r="G43" s="154">
        <v>1.0</v>
      </c>
      <c r="H43" s="155" t="str">
        <f t="shared" si="4"/>
        <v>PLANEJADO</v>
      </c>
    </row>
    <row r="44">
      <c r="A44" s="13"/>
      <c r="B44" s="166" t="s">
        <v>90</v>
      </c>
      <c r="C44" s="170" t="s">
        <v>91</v>
      </c>
      <c r="D44" s="152" t="s">
        <v>383</v>
      </c>
      <c r="E44" s="168" t="s">
        <v>384</v>
      </c>
      <c r="F44" s="158"/>
      <c r="G44" s="154">
        <v>1.0</v>
      </c>
      <c r="H44" s="155" t="str">
        <f t="shared" si="4"/>
        <v>PLANEJADO</v>
      </c>
    </row>
    <row r="45">
      <c r="G45" s="171"/>
    </row>
    <row r="46" ht="36.75" customHeight="1">
      <c r="A46" s="172" t="s">
        <v>339</v>
      </c>
      <c r="B46" s="172" t="s">
        <v>340</v>
      </c>
      <c r="C46" s="172" t="s">
        <v>341</v>
      </c>
      <c r="D46" s="173" t="s">
        <v>342</v>
      </c>
      <c r="E46" s="173" t="s">
        <v>343</v>
      </c>
      <c r="F46" s="172" t="s">
        <v>344</v>
      </c>
      <c r="G46" s="172" t="s">
        <v>345</v>
      </c>
      <c r="H46" s="172" t="s">
        <v>346</v>
      </c>
    </row>
    <row r="47">
      <c r="A47" s="174" t="s">
        <v>397</v>
      </c>
      <c r="B47" s="166" t="s">
        <v>57</v>
      </c>
      <c r="C47" s="167" t="s">
        <v>398</v>
      </c>
      <c r="D47" s="168" t="s">
        <v>359</v>
      </c>
      <c r="E47" s="168" t="s">
        <v>360</v>
      </c>
      <c r="F47" s="158"/>
      <c r="G47" s="154">
        <v>1.0</v>
      </c>
      <c r="H47" s="155" t="str">
        <f t="shared" ref="H47:H57" si="5">IF(G47=1,"PLANEJADO",IF(G47=1.5,"DESENVOLVENDO",IF(G47=2,"EM ADOÇÃO",IF(G47=3,"ADOTADO",""))))</f>
        <v>PLANEJADO</v>
      </c>
    </row>
    <row r="48">
      <c r="A48" s="11"/>
      <c r="B48" s="166" t="s">
        <v>67</v>
      </c>
      <c r="C48" s="169" t="s">
        <v>399</v>
      </c>
      <c r="D48" s="168" t="s">
        <v>362</v>
      </c>
      <c r="E48" s="152" t="s">
        <v>363</v>
      </c>
      <c r="F48" s="158"/>
      <c r="G48" s="154">
        <v>1.0</v>
      </c>
      <c r="H48" s="155" t="str">
        <f t="shared" si="5"/>
        <v>PLANEJADO</v>
      </c>
    </row>
    <row r="49">
      <c r="A49" s="11"/>
      <c r="B49" s="166" t="s">
        <v>70</v>
      </c>
      <c r="C49" s="169" t="s">
        <v>400</v>
      </c>
      <c r="D49" s="168" t="s">
        <v>365</v>
      </c>
      <c r="E49" s="168" t="s">
        <v>366</v>
      </c>
      <c r="F49" s="158"/>
      <c r="G49" s="154">
        <v>1.0</v>
      </c>
      <c r="H49" s="155" t="str">
        <f t="shared" si="5"/>
        <v>PLANEJADO</v>
      </c>
    </row>
    <row r="50">
      <c r="A50" s="11"/>
      <c r="B50" s="166" t="s">
        <v>75</v>
      </c>
      <c r="C50" s="169" t="s">
        <v>76</v>
      </c>
      <c r="D50" s="168" t="s">
        <v>367</v>
      </c>
      <c r="E50" s="168" t="s">
        <v>368</v>
      </c>
      <c r="F50" s="158"/>
      <c r="G50" s="154">
        <v>1.0</v>
      </c>
      <c r="H50" s="155" t="str">
        <f t="shared" si="5"/>
        <v>PLANEJADO</v>
      </c>
    </row>
    <row r="51">
      <c r="A51" s="11"/>
      <c r="B51" s="166" t="s">
        <v>72</v>
      </c>
      <c r="C51" s="167" t="s">
        <v>401</v>
      </c>
      <c r="D51" s="168" t="s">
        <v>370</v>
      </c>
      <c r="E51" s="168" t="s">
        <v>371</v>
      </c>
      <c r="F51" s="158"/>
      <c r="G51" s="154">
        <v>1.0</v>
      </c>
      <c r="H51" s="155" t="str">
        <f t="shared" si="5"/>
        <v>PLANEJADO</v>
      </c>
    </row>
    <row r="52">
      <c r="A52" s="11"/>
      <c r="B52" s="166" t="s">
        <v>78</v>
      </c>
      <c r="C52" s="169" t="s">
        <v>76</v>
      </c>
      <c r="D52" s="152" t="s">
        <v>372</v>
      </c>
      <c r="E52" s="168" t="s">
        <v>373</v>
      </c>
      <c r="F52" s="158"/>
      <c r="G52" s="154">
        <v>1.0</v>
      </c>
      <c r="H52" s="155" t="str">
        <f t="shared" si="5"/>
        <v>PLANEJADO</v>
      </c>
    </row>
    <row r="53">
      <c r="A53" s="11"/>
      <c r="B53" s="166" t="s">
        <v>79</v>
      </c>
      <c r="C53" s="169" t="s">
        <v>80</v>
      </c>
      <c r="D53" s="168" t="s">
        <v>374</v>
      </c>
      <c r="E53" s="168" t="s">
        <v>375</v>
      </c>
      <c r="F53" s="158"/>
      <c r="G53" s="154">
        <v>1.0</v>
      </c>
      <c r="H53" s="155" t="str">
        <f t="shared" si="5"/>
        <v>PLANEJADO</v>
      </c>
    </row>
    <row r="54">
      <c r="A54" s="11"/>
      <c r="B54" s="166" t="s">
        <v>82</v>
      </c>
      <c r="C54" s="170" t="s">
        <v>83</v>
      </c>
      <c r="D54" s="168" t="s">
        <v>376</v>
      </c>
      <c r="E54" s="168" t="s">
        <v>377</v>
      </c>
      <c r="F54" s="158"/>
      <c r="G54" s="154">
        <v>1.0</v>
      </c>
      <c r="H54" s="155" t="str">
        <f t="shared" si="5"/>
        <v>PLANEJADO</v>
      </c>
    </row>
    <row r="55">
      <c r="A55" s="11"/>
      <c r="B55" s="166" t="s">
        <v>85</v>
      </c>
      <c r="C55" s="167" t="s">
        <v>402</v>
      </c>
      <c r="D55" s="168" t="s">
        <v>379</v>
      </c>
      <c r="E55" s="168" t="s">
        <v>380</v>
      </c>
      <c r="F55" s="158"/>
      <c r="G55" s="154">
        <v>1.0</v>
      </c>
      <c r="H55" s="155" t="str">
        <f t="shared" si="5"/>
        <v>PLANEJADO</v>
      </c>
    </row>
    <row r="56">
      <c r="A56" s="11"/>
      <c r="B56" s="166" t="s">
        <v>87</v>
      </c>
      <c r="C56" s="170" t="s">
        <v>88</v>
      </c>
      <c r="D56" s="168" t="s">
        <v>381</v>
      </c>
      <c r="E56" s="168" t="s">
        <v>382</v>
      </c>
      <c r="F56" s="158"/>
      <c r="G56" s="154">
        <v>1.0</v>
      </c>
      <c r="H56" s="155" t="str">
        <f t="shared" si="5"/>
        <v>PLANEJADO</v>
      </c>
    </row>
    <row r="57">
      <c r="A57" s="13"/>
      <c r="B57" s="166" t="s">
        <v>90</v>
      </c>
      <c r="C57" s="170" t="s">
        <v>91</v>
      </c>
      <c r="D57" s="152" t="s">
        <v>383</v>
      </c>
      <c r="E57" s="168" t="s">
        <v>384</v>
      </c>
      <c r="F57" s="158"/>
      <c r="G57" s="154">
        <v>1.0</v>
      </c>
      <c r="H57" s="155" t="str">
        <f t="shared" si="5"/>
        <v>PLANEJADO</v>
      </c>
    </row>
    <row r="58">
      <c r="G58" s="171"/>
    </row>
    <row r="59" ht="33.0" customHeight="1">
      <c r="A59" s="163" t="s">
        <v>339</v>
      </c>
      <c r="B59" s="163" t="s">
        <v>340</v>
      </c>
      <c r="C59" s="163" t="s">
        <v>341</v>
      </c>
      <c r="D59" s="164" t="s">
        <v>342</v>
      </c>
      <c r="E59" s="164" t="s">
        <v>343</v>
      </c>
      <c r="F59" s="163" t="s">
        <v>344</v>
      </c>
      <c r="G59" s="163" t="s">
        <v>345</v>
      </c>
      <c r="H59" s="163" t="s">
        <v>346</v>
      </c>
    </row>
    <row r="60">
      <c r="A60" s="165" t="s">
        <v>403</v>
      </c>
      <c r="B60" s="166" t="s">
        <v>57</v>
      </c>
      <c r="C60" s="167" t="s">
        <v>404</v>
      </c>
      <c r="D60" s="168" t="s">
        <v>359</v>
      </c>
      <c r="E60" s="168" t="s">
        <v>360</v>
      </c>
      <c r="F60" s="158"/>
      <c r="G60" s="154">
        <v>1.0</v>
      </c>
      <c r="H60" s="155" t="str">
        <f t="shared" ref="H60:H70" si="6">IF(G60=1,"PLANEJADO",IF(G60=1.5,"DESENVOLVENDO",IF(G60=2,"EM ADOÇÃO",IF(G60=3,"ADOTADO",""))))</f>
        <v>PLANEJADO</v>
      </c>
    </row>
    <row r="61">
      <c r="A61" s="11"/>
      <c r="B61" s="166" t="s">
        <v>67</v>
      </c>
      <c r="C61" s="169" t="s">
        <v>405</v>
      </c>
      <c r="D61" s="168" t="s">
        <v>362</v>
      </c>
      <c r="E61" s="152" t="s">
        <v>363</v>
      </c>
      <c r="F61" s="158"/>
      <c r="G61" s="154">
        <v>1.0</v>
      </c>
      <c r="H61" s="155" t="str">
        <f t="shared" si="6"/>
        <v>PLANEJADO</v>
      </c>
    </row>
    <row r="62">
      <c r="A62" s="11"/>
      <c r="B62" s="166" t="s">
        <v>70</v>
      </c>
      <c r="C62" s="169" t="s">
        <v>406</v>
      </c>
      <c r="D62" s="168" t="s">
        <v>365</v>
      </c>
      <c r="E62" s="168" t="s">
        <v>366</v>
      </c>
      <c r="F62" s="158"/>
      <c r="G62" s="154">
        <v>1.0</v>
      </c>
      <c r="H62" s="155" t="str">
        <f t="shared" si="6"/>
        <v>PLANEJADO</v>
      </c>
    </row>
    <row r="63">
      <c r="A63" s="11"/>
      <c r="B63" s="166" t="s">
        <v>75</v>
      </c>
      <c r="C63" s="169" t="s">
        <v>76</v>
      </c>
      <c r="D63" s="168" t="s">
        <v>367</v>
      </c>
      <c r="E63" s="168" t="s">
        <v>368</v>
      </c>
      <c r="F63" s="158"/>
      <c r="G63" s="154">
        <v>1.0</v>
      </c>
      <c r="H63" s="155" t="str">
        <f t="shared" si="6"/>
        <v>PLANEJADO</v>
      </c>
    </row>
    <row r="64">
      <c r="A64" s="11"/>
      <c r="B64" s="166" t="s">
        <v>72</v>
      </c>
      <c r="C64" s="167" t="s">
        <v>407</v>
      </c>
      <c r="D64" s="168" t="s">
        <v>370</v>
      </c>
      <c r="E64" s="168" t="s">
        <v>371</v>
      </c>
      <c r="F64" s="158"/>
      <c r="G64" s="154">
        <v>1.0</v>
      </c>
      <c r="H64" s="155" t="str">
        <f t="shared" si="6"/>
        <v>PLANEJADO</v>
      </c>
    </row>
    <row r="65">
      <c r="A65" s="11"/>
      <c r="B65" s="166" t="s">
        <v>78</v>
      </c>
      <c r="C65" s="169" t="s">
        <v>76</v>
      </c>
      <c r="D65" s="152" t="s">
        <v>372</v>
      </c>
      <c r="E65" s="168" t="s">
        <v>373</v>
      </c>
      <c r="F65" s="158"/>
      <c r="G65" s="154">
        <v>1.0</v>
      </c>
      <c r="H65" s="155" t="str">
        <f t="shared" si="6"/>
        <v>PLANEJADO</v>
      </c>
    </row>
    <row r="66">
      <c r="A66" s="11"/>
      <c r="B66" s="166" t="s">
        <v>79</v>
      </c>
      <c r="C66" s="169" t="s">
        <v>80</v>
      </c>
      <c r="D66" s="168" t="s">
        <v>374</v>
      </c>
      <c r="E66" s="168" t="s">
        <v>375</v>
      </c>
      <c r="F66" s="158"/>
      <c r="G66" s="154">
        <v>1.0</v>
      </c>
      <c r="H66" s="155" t="str">
        <f t="shared" si="6"/>
        <v>PLANEJADO</v>
      </c>
    </row>
    <row r="67">
      <c r="A67" s="11"/>
      <c r="B67" s="166" t="s">
        <v>82</v>
      </c>
      <c r="C67" s="170" t="s">
        <v>83</v>
      </c>
      <c r="D67" s="168" t="s">
        <v>376</v>
      </c>
      <c r="E67" s="168" t="s">
        <v>377</v>
      </c>
      <c r="F67" s="158"/>
      <c r="G67" s="154">
        <v>1.0</v>
      </c>
      <c r="H67" s="155" t="str">
        <f t="shared" si="6"/>
        <v>PLANEJADO</v>
      </c>
    </row>
    <row r="68">
      <c r="A68" s="11"/>
      <c r="B68" s="166" t="s">
        <v>85</v>
      </c>
      <c r="C68" s="167" t="s">
        <v>408</v>
      </c>
      <c r="D68" s="168" t="s">
        <v>379</v>
      </c>
      <c r="E68" s="168" t="s">
        <v>380</v>
      </c>
      <c r="F68" s="158"/>
      <c r="G68" s="154">
        <v>1.0</v>
      </c>
      <c r="H68" s="155" t="str">
        <f t="shared" si="6"/>
        <v>PLANEJADO</v>
      </c>
    </row>
    <row r="69">
      <c r="A69" s="11"/>
      <c r="B69" s="166" t="s">
        <v>87</v>
      </c>
      <c r="C69" s="170" t="s">
        <v>88</v>
      </c>
      <c r="D69" s="168" t="s">
        <v>381</v>
      </c>
      <c r="E69" s="168" t="s">
        <v>382</v>
      </c>
      <c r="F69" s="158"/>
      <c r="G69" s="154">
        <v>1.0</v>
      </c>
      <c r="H69" s="155" t="str">
        <f t="shared" si="6"/>
        <v>PLANEJADO</v>
      </c>
    </row>
    <row r="70">
      <c r="A70" s="13"/>
      <c r="B70" s="166" t="s">
        <v>90</v>
      </c>
      <c r="C70" s="170" t="s">
        <v>91</v>
      </c>
      <c r="D70" s="152" t="s">
        <v>383</v>
      </c>
      <c r="E70" s="168" t="s">
        <v>384</v>
      </c>
      <c r="F70" s="158"/>
      <c r="G70" s="154">
        <v>1.0</v>
      </c>
      <c r="H70" s="155" t="str">
        <f t="shared" si="6"/>
        <v>PLANEJADO</v>
      </c>
    </row>
    <row r="71">
      <c r="G71" s="171"/>
    </row>
    <row r="72" ht="38.25" customHeight="1">
      <c r="A72" s="172" t="s">
        <v>339</v>
      </c>
      <c r="B72" s="172" t="s">
        <v>340</v>
      </c>
      <c r="C72" s="172" t="s">
        <v>341</v>
      </c>
      <c r="D72" s="173" t="s">
        <v>342</v>
      </c>
      <c r="E72" s="173" t="s">
        <v>343</v>
      </c>
      <c r="F72" s="172" t="s">
        <v>344</v>
      </c>
      <c r="G72" s="172" t="s">
        <v>345</v>
      </c>
      <c r="H72" s="172" t="s">
        <v>346</v>
      </c>
    </row>
    <row r="73">
      <c r="A73" s="174" t="s">
        <v>409</v>
      </c>
      <c r="B73" s="166" t="s">
        <v>57</v>
      </c>
      <c r="C73" s="167" t="s">
        <v>410</v>
      </c>
      <c r="D73" s="168" t="s">
        <v>359</v>
      </c>
      <c r="E73" s="168" t="s">
        <v>360</v>
      </c>
      <c r="F73" s="158"/>
      <c r="G73" s="154">
        <v>1.0</v>
      </c>
      <c r="H73" s="155" t="str">
        <f t="shared" ref="H73:H83" si="7">IF(G73=1,"PLANEJADO",IF(G73=1.5,"DESENVOLVENDO",IF(G73=2,"EM ADOÇÃO",IF(G73=3,"ADOTADO",""))))</f>
        <v>PLANEJADO</v>
      </c>
    </row>
    <row r="74">
      <c r="A74" s="11"/>
      <c r="B74" s="166" t="s">
        <v>67</v>
      </c>
      <c r="C74" s="169" t="s">
        <v>411</v>
      </c>
      <c r="D74" s="168" t="s">
        <v>362</v>
      </c>
      <c r="E74" s="152" t="s">
        <v>363</v>
      </c>
      <c r="F74" s="158"/>
      <c r="G74" s="154">
        <v>1.0</v>
      </c>
      <c r="H74" s="155" t="str">
        <f t="shared" si="7"/>
        <v>PLANEJADO</v>
      </c>
    </row>
    <row r="75">
      <c r="A75" s="11"/>
      <c r="B75" s="166" t="s">
        <v>70</v>
      </c>
      <c r="C75" s="169" t="s">
        <v>412</v>
      </c>
      <c r="D75" s="168" t="s">
        <v>365</v>
      </c>
      <c r="E75" s="168" t="s">
        <v>366</v>
      </c>
      <c r="F75" s="158"/>
      <c r="G75" s="154">
        <v>1.0</v>
      </c>
      <c r="H75" s="155" t="str">
        <f t="shared" si="7"/>
        <v>PLANEJADO</v>
      </c>
    </row>
    <row r="76">
      <c r="A76" s="11"/>
      <c r="B76" s="166" t="s">
        <v>75</v>
      </c>
      <c r="C76" s="169" t="s">
        <v>76</v>
      </c>
      <c r="D76" s="168" t="s">
        <v>367</v>
      </c>
      <c r="E76" s="168" t="s">
        <v>368</v>
      </c>
      <c r="F76" s="158"/>
      <c r="G76" s="154">
        <v>1.0</v>
      </c>
      <c r="H76" s="155" t="str">
        <f t="shared" si="7"/>
        <v>PLANEJADO</v>
      </c>
    </row>
    <row r="77">
      <c r="A77" s="11"/>
      <c r="B77" s="166" t="s">
        <v>72</v>
      </c>
      <c r="C77" s="167" t="s">
        <v>413</v>
      </c>
      <c r="D77" s="168" t="s">
        <v>370</v>
      </c>
      <c r="E77" s="168" t="s">
        <v>371</v>
      </c>
      <c r="F77" s="158"/>
      <c r="G77" s="154">
        <v>1.0</v>
      </c>
      <c r="H77" s="155" t="str">
        <f t="shared" si="7"/>
        <v>PLANEJADO</v>
      </c>
    </row>
    <row r="78">
      <c r="A78" s="11"/>
      <c r="B78" s="166" t="s">
        <v>78</v>
      </c>
      <c r="C78" s="169" t="s">
        <v>76</v>
      </c>
      <c r="D78" s="152" t="s">
        <v>372</v>
      </c>
      <c r="E78" s="168" t="s">
        <v>373</v>
      </c>
      <c r="F78" s="158"/>
      <c r="G78" s="154">
        <v>1.0</v>
      </c>
      <c r="H78" s="155" t="str">
        <f t="shared" si="7"/>
        <v>PLANEJADO</v>
      </c>
    </row>
    <row r="79">
      <c r="A79" s="11"/>
      <c r="B79" s="166" t="s">
        <v>79</v>
      </c>
      <c r="C79" s="169" t="s">
        <v>80</v>
      </c>
      <c r="D79" s="168" t="s">
        <v>374</v>
      </c>
      <c r="E79" s="168" t="s">
        <v>375</v>
      </c>
      <c r="F79" s="158"/>
      <c r="G79" s="154">
        <v>1.0</v>
      </c>
      <c r="H79" s="155" t="str">
        <f t="shared" si="7"/>
        <v>PLANEJADO</v>
      </c>
    </row>
    <row r="80">
      <c r="A80" s="11"/>
      <c r="B80" s="166" t="s">
        <v>82</v>
      </c>
      <c r="C80" s="170" t="s">
        <v>83</v>
      </c>
      <c r="D80" s="168" t="s">
        <v>376</v>
      </c>
      <c r="E80" s="168" t="s">
        <v>377</v>
      </c>
      <c r="F80" s="158"/>
      <c r="G80" s="154">
        <v>1.0</v>
      </c>
      <c r="H80" s="155" t="str">
        <f t="shared" si="7"/>
        <v>PLANEJADO</v>
      </c>
    </row>
    <row r="81">
      <c r="A81" s="11"/>
      <c r="B81" s="166" t="s">
        <v>85</v>
      </c>
      <c r="C81" s="167" t="s">
        <v>414</v>
      </c>
      <c r="D81" s="168" t="s">
        <v>379</v>
      </c>
      <c r="E81" s="168" t="s">
        <v>380</v>
      </c>
      <c r="F81" s="158"/>
      <c r="G81" s="154">
        <v>1.0</v>
      </c>
      <c r="H81" s="155" t="str">
        <f t="shared" si="7"/>
        <v>PLANEJADO</v>
      </c>
    </row>
    <row r="82">
      <c r="A82" s="11"/>
      <c r="B82" s="166" t="s">
        <v>87</v>
      </c>
      <c r="C82" s="170" t="s">
        <v>88</v>
      </c>
      <c r="D82" s="168" t="s">
        <v>381</v>
      </c>
      <c r="E82" s="168" t="s">
        <v>382</v>
      </c>
      <c r="F82" s="158"/>
      <c r="G82" s="154">
        <v>1.0</v>
      </c>
      <c r="H82" s="155" t="str">
        <f t="shared" si="7"/>
        <v>PLANEJADO</v>
      </c>
    </row>
    <row r="83">
      <c r="A83" s="13"/>
      <c r="B83" s="166" t="s">
        <v>90</v>
      </c>
      <c r="C83" s="170" t="s">
        <v>91</v>
      </c>
      <c r="D83" s="152" t="s">
        <v>383</v>
      </c>
      <c r="E83" s="168" t="s">
        <v>384</v>
      </c>
      <c r="F83" s="158"/>
      <c r="G83" s="154">
        <v>1.0</v>
      </c>
      <c r="H83" s="155" t="str">
        <f t="shared" si="7"/>
        <v>PLANEJADO</v>
      </c>
    </row>
    <row r="84">
      <c r="G84" s="171"/>
    </row>
    <row r="85" ht="32.25" customHeight="1">
      <c r="A85" s="163" t="s">
        <v>339</v>
      </c>
      <c r="B85" s="163" t="s">
        <v>340</v>
      </c>
      <c r="C85" s="163" t="s">
        <v>341</v>
      </c>
      <c r="D85" s="164" t="s">
        <v>342</v>
      </c>
      <c r="E85" s="164" t="s">
        <v>343</v>
      </c>
      <c r="F85" s="163" t="s">
        <v>344</v>
      </c>
      <c r="G85" s="163" t="s">
        <v>345</v>
      </c>
      <c r="H85" s="163" t="s">
        <v>346</v>
      </c>
    </row>
    <row r="86">
      <c r="A86" s="165" t="s">
        <v>415</v>
      </c>
      <c r="B86" s="166" t="s">
        <v>57</v>
      </c>
      <c r="C86" s="167" t="s">
        <v>416</v>
      </c>
      <c r="D86" s="168" t="s">
        <v>359</v>
      </c>
      <c r="E86" s="168" t="s">
        <v>360</v>
      </c>
      <c r="F86" s="158"/>
      <c r="G86" s="154">
        <v>1.0</v>
      </c>
      <c r="H86" s="155" t="str">
        <f t="shared" ref="H86:H96" si="8">IF(G86=1,"PLANEJADO",IF(G86=1.5,"DESENVOLVENDO",IF(G86=2,"EM ADOÇÃO",IF(G86=3,"ADOTADO",""))))</f>
        <v>PLANEJADO</v>
      </c>
    </row>
    <row r="87">
      <c r="A87" s="11"/>
      <c r="B87" s="166" t="s">
        <v>67</v>
      </c>
      <c r="C87" s="169" t="s">
        <v>417</v>
      </c>
      <c r="D87" s="168" t="s">
        <v>362</v>
      </c>
      <c r="E87" s="152" t="s">
        <v>363</v>
      </c>
      <c r="F87" s="158"/>
      <c r="G87" s="154">
        <v>1.0</v>
      </c>
      <c r="H87" s="155" t="str">
        <f t="shared" si="8"/>
        <v>PLANEJADO</v>
      </c>
    </row>
    <row r="88">
      <c r="A88" s="11"/>
      <c r="B88" s="166" t="s">
        <v>70</v>
      </c>
      <c r="C88" s="169" t="s">
        <v>418</v>
      </c>
      <c r="D88" s="168" t="s">
        <v>365</v>
      </c>
      <c r="E88" s="168" t="s">
        <v>366</v>
      </c>
      <c r="F88" s="158"/>
      <c r="G88" s="154">
        <v>1.0</v>
      </c>
      <c r="H88" s="155" t="str">
        <f t="shared" si="8"/>
        <v>PLANEJADO</v>
      </c>
    </row>
    <row r="89">
      <c r="A89" s="11"/>
      <c r="B89" s="166" t="s">
        <v>75</v>
      </c>
      <c r="C89" s="169" t="s">
        <v>76</v>
      </c>
      <c r="D89" s="168" t="s">
        <v>367</v>
      </c>
      <c r="E89" s="168" t="s">
        <v>368</v>
      </c>
      <c r="F89" s="158"/>
      <c r="G89" s="154">
        <v>1.0</v>
      </c>
      <c r="H89" s="155" t="str">
        <f t="shared" si="8"/>
        <v>PLANEJADO</v>
      </c>
    </row>
    <row r="90">
      <c r="A90" s="11"/>
      <c r="B90" s="166" t="s">
        <v>72</v>
      </c>
      <c r="C90" s="167" t="s">
        <v>419</v>
      </c>
      <c r="D90" s="168" t="s">
        <v>370</v>
      </c>
      <c r="E90" s="168" t="s">
        <v>371</v>
      </c>
      <c r="F90" s="158"/>
      <c r="G90" s="154">
        <v>1.0</v>
      </c>
      <c r="H90" s="155" t="str">
        <f t="shared" si="8"/>
        <v>PLANEJADO</v>
      </c>
    </row>
    <row r="91">
      <c r="A91" s="11"/>
      <c r="B91" s="166" t="s">
        <v>78</v>
      </c>
      <c r="C91" s="169" t="s">
        <v>76</v>
      </c>
      <c r="D91" s="152" t="s">
        <v>372</v>
      </c>
      <c r="E91" s="168" t="s">
        <v>373</v>
      </c>
      <c r="F91" s="158"/>
      <c r="G91" s="154">
        <v>1.0</v>
      </c>
      <c r="H91" s="155" t="str">
        <f t="shared" si="8"/>
        <v>PLANEJADO</v>
      </c>
    </row>
    <row r="92">
      <c r="A92" s="11"/>
      <c r="B92" s="166" t="s">
        <v>79</v>
      </c>
      <c r="C92" s="169" t="s">
        <v>80</v>
      </c>
      <c r="D92" s="168" t="s">
        <v>374</v>
      </c>
      <c r="E92" s="168" t="s">
        <v>375</v>
      </c>
      <c r="F92" s="158"/>
      <c r="G92" s="154">
        <v>1.0</v>
      </c>
      <c r="H92" s="155" t="str">
        <f t="shared" si="8"/>
        <v>PLANEJADO</v>
      </c>
    </row>
    <row r="93">
      <c r="A93" s="11"/>
      <c r="B93" s="166" t="s">
        <v>82</v>
      </c>
      <c r="C93" s="170" t="s">
        <v>83</v>
      </c>
      <c r="D93" s="168" t="s">
        <v>376</v>
      </c>
      <c r="E93" s="168" t="s">
        <v>377</v>
      </c>
      <c r="F93" s="158"/>
      <c r="G93" s="154">
        <v>1.0</v>
      </c>
      <c r="H93" s="155" t="str">
        <f t="shared" si="8"/>
        <v>PLANEJADO</v>
      </c>
    </row>
    <row r="94">
      <c r="A94" s="11"/>
      <c r="B94" s="166" t="s">
        <v>85</v>
      </c>
      <c r="C94" s="167" t="s">
        <v>420</v>
      </c>
      <c r="D94" s="168" t="s">
        <v>379</v>
      </c>
      <c r="E94" s="168" t="s">
        <v>380</v>
      </c>
      <c r="F94" s="158"/>
      <c r="G94" s="154">
        <v>1.0</v>
      </c>
      <c r="H94" s="155" t="str">
        <f t="shared" si="8"/>
        <v>PLANEJADO</v>
      </c>
    </row>
    <row r="95">
      <c r="A95" s="11"/>
      <c r="B95" s="166" t="s">
        <v>87</v>
      </c>
      <c r="C95" s="170" t="s">
        <v>88</v>
      </c>
      <c r="D95" s="168" t="s">
        <v>381</v>
      </c>
      <c r="E95" s="168" t="s">
        <v>382</v>
      </c>
      <c r="F95" s="158"/>
      <c r="G95" s="154">
        <v>1.0</v>
      </c>
      <c r="H95" s="155" t="str">
        <f t="shared" si="8"/>
        <v>PLANEJADO</v>
      </c>
    </row>
    <row r="96">
      <c r="A96" s="13"/>
      <c r="B96" s="166" t="s">
        <v>90</v>
      </c>
      <c r="C96" s="170" t="s">
        <v>91</v>
      </c>
      <c r="D96" s="152" t="s">
        <v>383</v>
      </c>
      <c r="E96" s="168" t="s">
        <v>384</v>
      </c>
      <c r="F96" s="158"/>
      <c r="G96" s="154">
        <v>1.0</v>
      </c>
      <c r="H96" s="155" t="str">
        <f t="shared" si="8"/>
        <v>PLANEJADO</v>
      </c>
    </row>
  </sheetData>
  <mergeCells count="10">
    <mergeCell ref="A60:A70"/>
    <mergeCell ref="A73:A83"/>
    <mergeCell ref="A86:A96"/>
    <mergeCell ref="A1:H2"/>
    <mergeCell ref="J1:K2"/>
    <mergeCell ref="A4:A5"/>
    <mergeCell ref="A8:A18"/>
    <mergeCell ref="A21:A31"/>
    <mergeCell ref="A34:A44"/>
    <mergeCell ref="A47:A57"/>
  </mergeCells>
  <hyperlinks>
    <hyperlink r:id="rId2" ref="F4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7.0"/>
    <col customWidth="1" min="3" max="3" width="42.38"/>
    <col customWidth="1" min="4" max="4" width="47.13"/>
    <col customWidth="1" min="5" max="5" width="37.88"/>
    <col customWidth="1" min="6" max="6" width="55.88"/>
    <col customWidth="1" min="7" max="7" width="35.5"/>
    <col customWidth="1" min="8" max="8" width="80.38"/>
    <col customWidth="1" min="9" max="9" width="19.88"/>
    <col customWidth="1" min="10" max="10" width="27.25"/>
  </cols>
  <sheetData>
    <row r="1" ht="33.0" customHeight="1">
      <c r="A1" s="175" t="s">
        <v>270</v>
      </c>
      <c r="B1" s="175" t="s">
        <v>44</v>
      </c>
      <c r="C1" s="175" t="s">
        <v>45</v>
      </c>
      <c r="D1" s="175" t="s">
        <v>205</v>
      </c>
      <c r="E1" s="175" t="s">
        <v>165</v>
      </c>
      <c r="F1" s="175" t="s">
        <v>166</v>
      </c>
      <c r="G1" s="175" t="s">
        <v>47</v>
      </c>
      <c r="H1" s="175" t="s">
        <v>421</v>
      </c>
      <c r="I1" s="175" t="s">
        <v>422</v>
      </c>
      <c r="J1" s="175" t="s">
        <v>169</v>
      </c>
    </row>
    <row r="2" ht="31.5" customHeight="1">
      <c r="A2" s="176" t="s">
        <v>57</v>
      </c>
      <c r="B2" s="177" t="s">
        <v>58</v>
      </c>
      <c r="C2" s="176" t="s">
        <v>171</v>
      </c>
      <c r="D2" s="176" t="s">
        <v>272</v>
      </c>
      <c r="E2" s="178" t="s">
        <v>359</v>
      </c>
      <c r="F2" s="176" t="s">
        <v>423</v>
      </c>
      <c r="G2" s="176" t="s">
        <v>424</v>
      </c>
      <c r="H2" s="178" t="s">
        <v>360</v>
      </c>
      <c r="I2" s="179" t="s">
        <v>122</v>
      </c>
      <c r="J2" s="176" t="s">
        <v>210</v>
      </c>
    </row>
    <row r="3" ht="22.5" customHeight="1">
      <c r="A3" s="176" t="s">
        <v>62</v>
      </c>
      <c r="B3" s="177" t="s">
        <v>58</v>
      </c>
      <c r="C3" s="176" t="s">
        <v>425</v>
      </c>
      <c r="D3" s="176" t="s">
        <v>272</v>
      </c>
      <c r="E3" s="178" t="s">
        <v>348</v>
      </c>
      <c r="F3" s="176" t="s">
        <v>63</v>
      </c>
      <c r="G3" s="176" t="s">
        <v>64</v>
      </c>
      <c r="H3" s="178" t="s">
        <v>349</v>
      </c>
      <c r="I3" s="177" t="s">
        <v>122</v>
      </c>
      <c r="J3" s="176" t="s">
        <v>198</v>
      </c>
    </row>
    <row r="4" ht="22.5" customHeight="1">
      <c r="A4" s="176" t="s">
        <v>65</v>
      </c>
      <c r="B4" s="177" t="s">
        <v>58</v>
      </c>
      <c r="C4" s="176" t="s">
        <v>195</v>
      </c>
      <c r="D4" s="176" t="s">
        <v>272</v>
      </c>
      <c r="E4" s="178" t="s">
        <v>352</v>
      </c>
      <c r="F4" s="176" t="s">
        <v>426</v>
      </c>
      <c r="G4" s="176" t="s">
        <v>64</v>
      </c>
      <c r="H4" s="178" t="s">
        <v>353</v>
      </c>
      <c r="I4" s="177" t="s">
        <v>122</v>
      </c>
      <c r="J4" s="176" t="s">
        <v>198</v>
      </c>
    </row>
    <row r="5" ht="22.5" customHeight="1">
      <c r="A5" s="176" t="s">
        <v>67</v>
      </c>
      <c r="B5" s="177" t="s">
        <v>58</v>
      </c>
      <c r="C5" s="176" t="s">
        <v>59</v>
      </c>
      <c r="D5" s="178" t="s">
        <v>278</v>
      </c>
      <c r="E5" s="178" t="s">
        <v>362</v>
      </c>
      <c r="F5" s="176" t="s">
        <v>139</v>
      </c>
      <c r="G5" s="176" t="s">
        <v>181</v>
      </c>
      <c r="H5" s="178" t="s">
        <v>363</v>
      </c>
      <c r="I5" s="177" t="s">
        <v>122</v>
      </c>
      <c r="J5" s="176" t="s">
        <v>281</v>
      </c>
    </row>
    <row r="6" ht="22.5" customHeight="1">
      <c r="A6" s="176" t="s">
        <v>70</v>
      </c>
      <c r="B6" s="177" t="s">
        <v>58</v>
      </c>
      <c r="C6" s="176" t="s">
        <v>59</v>
      </c>
      <c r="D6" s="176" t="s">
        <v>427</v>
      </c>
      <c r="E6" s="178" t="s">
        <v>365</v>
      </c>
      <c r="F6" s="176" t="s">
        <v>139</v>
      </c>
      <c r="G6" s="176" t="s">
        <v>181</v>
      </c>
      <c r="H6" s="178" t="s">
        <v>366</v>
      </c>
      <c r="I6" s="177" t="s">
        <v>122</v>
      </c>
      <c r="J6" s="176" t="s">
        <v>428</v>
      </c>
    </row>
    <row r="7" ht="22.5" customHeight="1">
      <c r="A7" s="176" t="s">
        <v>72</v>
      </c>
      <c r="B7" s="177" t="s">
        <v>58</v>
      </c>
      <c r="C7" s="176" t="s">
        <v>189</v>
      </c>
      <c r="D7" s="176" t="s">
        <v>290</v>
      </c>
      <c r="E7" s="178" t="s">
        <v>370</v>
      </c>
      <c r="F7" s="176" t="s">
        <v>429</v>
      </c>
      <c r="G7" s="176" t="s">
        <v>192</v>
      </c>
      <c r="H7" s="178" t="s">
        <v>371</v>
      </c>
      <c r="I7" s="177" t="s">
        <v>122</v>
      </c>
      <c r="J7" s="176" t="s">
        <v>294</v>
      </c>
    </row>
    <row r="8" ht="22.5" customHeight="1">
      <c r="A8" s="176" t="s">
        <v>75</v>
      </c>
      <c r="B8" s="177" t="s">
        <v>58</v>
      </c>
      <c r="C8" s="176" t="s">
        <v>59</v>
      </c>
      <c r="D8" s="176" t="s">
        <v>430</v>
      </c>
      <c r="E8" s="178" t="s">
        <v>367</v>
      </c>
      <c r="F8" s="176" t="s">
        <v>76</v>
      </c>
      <c r="G8" s="176" t="s">
        <v>284</v>
      </c>
      <c r="H8" s="178" t="s">
        <v>368</v>
      </c>
      <c r="I8" s="177" t="s">
        <v>122</v>
      </c>
      <c r="J8" s="176" t="s">
        <v>431</v>
      </c>
    </row>
    <row r="9" ht="22.5" customHeight="1">
      <c r="A9" s="176" t="s">
        <v>78</v>
      </c>
      <c r="B9" s="177" t="s">
        <v>58</v>
      </c>
      <c r="C9" s="176" t="s">
        <v>59</v>
      </c>
      <c r="D9" s="176" t="s">
        <v>287</v>
      </c>
      <c r="E9" s="178" t="s">
        <v>372</v>
      </c>
      <c r="F9" s="176" t="s">
        <v>76</v>
      </c>
      <c r="G9" s="176" t="s">
        <v>284</v>
      </c>
      <c r="H9" s="178" t="s">
        <v>373</v>
      </c>
      <c r="I9" s="177" t="s">
        <v>122</v>
      </c>
      <c r="J9" s="176" t="s">
        <v>286</v>
      </c>
    </row>
    <row r="10" ht="22.5" customHeight="1">
      <c r="A10" s="176" t="s">
        <v>79</v>
      </c>
      <c r="B10" s="177" t="s">
        <v>58</v>
      </c>
      <c r="C10" s="176" t="s">
        <v>59</v>
      </c>
      <c r="D10" s="176" t="s">
        <v>272</v>
      </c>
      <c r="E10" s="178" t="s">
        <v>374</v>
      </c>
      <c r="F10" s="176" t="s">
        <v>432</v>
      </c>
      <c r="G10" s="176" t="s">
        <v>81</v>
      </c>
      <c r="H10" s="178" t="s">
        <v>375</v>
      </c>
      <c r="I10" s="177" t="s">
        <v>10</v>
      </c>
      <c r="J10" s="176" t="s">
        <v>433</v>
      </c>
    </row>
    <row r="11" ht="22.5" customHeight="1">
      <c r="A11" s="176" t="s">
        <v>82</v>
      </c>
      <c r="B11" s="177" t="s">
        <v>58</v>
      </c>
      <c r="C11" s="176" t="s">
        <v>59</v>
      </c>
      <c r="D11" s="176" t="s">
        <v>295</v>
      </c>
      <c r="E11" s="178" t="s">
        <v>376</v>
      </c>
      <c r="F11" s="176" t="s">
        <v>152</v>
      </c>
      <c r="G11" s="176" t="s">
        <v>181</v>
      </c>
      <c r="H11" s="178" t="s">
        <v>377</v>
      </c>
      <c r="I11" s="177" t="s">
        <v>122</v>
      </c>
      <c r="J11" s="176" t="s">
        <v>301</v>
      </c>
    </row>
    <row r="12" ht="22.5" customHeight="1">
      <c r="A12" s="176" t="s">
        <v>85</v>
      </c>
      <c r="B12" s="177" t="s">
        <v>58</v>
      </c>
      <c r="C12" s="176" t="s">
        <v>59</v>
      </c>
      <c r="D12" s="176" t="s">
        <v>295</v>
      </c>
      <c r="E12" s="178" t="s">
        <v>379</v>
      </c>
      <c r="F12" s="176" t="s">
        <v>434</v>
      </c>
      <c r="G12" s="176" t="s">
        <v>284</v>
      </c>
      <c r="H12" s="178" t="s">
        <v>380</v>
      </c>
      <c r="I12" s="177" t="s">
        <v>122</v>
      </c>
      <c r="J12" s="176" t="s">
        <v>301</v>
      </c>
    </row>
    <row r="13" ht="22.5" customHeight="1">
      <c r="A13" s="176" t="s">
        <v>87</v>
      </c>
      <c r="B13" s="177" t="s">
        <v>58</v>
      </c>
      <c r="C13" s="176" t="s">
        <v>435</v>
      </c>
      <c r="D13" s="176" t="s">
        <v>436</v>
      </c>
      <c r="E13" s="178" t="s">
        <v>381</v>
      </c>
      <c r="F13" s="176" t="s">
        <v>150</v>
      </c>
      <c r="G13" s="176" t="s">
        <v>437</v>
      </c>
      <c r="H13" s="178" t="s">
        <v>382</v>
      </c>
      <c r="I13" s="177" t="s">
        <v>122</v>
      </c>
      <c r="J13" s="176" t="s">
        <v>438</v>
      </c>
    </row>
    <row r="14" ht="22.5" customHeight="1">
      <c r="A14" s="176" t="s">
        <v>90</v>
      </c>
      <c r="B14" s="177" t="s">
        <v>58</v>
      </c>
      <c r="C14" s="176" t="s">
        <v>439</v>
      </c>
      <c r="D14" s="176" t="s">
        <v>440</v>
      </c>
      <c r="E14" s="178" t="s">
        <v>441</v>
      </c>
      <c r="F14" s="176" t="s">
        <v>442</v>
      </c>
      <c r="G14" s="176" t="s">
        <v>443</v>
      </c>
      <c r="H14" s="178" t="s">
        <v>384</v>
      </c>
      <c r="I14" s="177" t="s">
        <v>122</v>
      </c>
      <c r="J14" s="176" t="s">
        <v>444</v>
      </c>
    </row>
    <row r="15" ht="22.5" customHeight="1">
      <c r="A15" s="176" t="s">
        <v>445</v>
      </c>
      <c r="B15" s="177" t="s">
        <v>58</v>
      </c>
      <c r="C15" s="176" t="s">
        <v>439</v>
      </c>
      <c r="D15" s="176" t="s">
        <v>446</v>
      </c>
      <c r="E15" s="178" t="s">
        <v>441</v>
      </c>
      <c r="F15" s="176" t="s">
        <v>442</v>
      </c>
      <c r="G15" s="176" t="s">
        <v>443</v>
      </c>
      <c r="H15" s="178" t="s">
        <v>384</v>
      </c>
      <c r="I15" s="177" t="s">
        <v>122</v>
      </c>
      <c r="J15" s="176" t="s">
        <v>444</v>
      </c>
    </row>
    <row r="16" ht="22.5" customHeight="1">
      <c r="A16" s="176" t="s">
        <v>93</v>
      </c>
      <c r="B16" s="177" t="s">
        <v>94</v>
      </c>
      <c r="C16" s="176" t="s">
        <v>59</v>
      </c>
      <c r="D16" s="176" t="s">
        <v>272</v>
      </c>
      <c r="E16" s="178" t="s">
        <v>311</v>
      </c>
      <c r="F16" s="176" t="s">
        <v>447</v>
      </c>
      <c r="G16" s="176" t="s">
        <v>96</v>
      </c>
      <c r="H16" s="178" t="s">
        <v>313</v>
      </c>
      <c r="I16" s="177" t="s">
        <v>122</v>
      </c>
      <c r="J16" s="176" t="s">
        <v>314</v>
      </c>
    </row>
    <row r="17" ht="22.5" customHeight="1">
      <c r="A17" s="176" t="s">
        <v>98</v>
      </c>
      <c r="B17" s="177" t="s">
        <v>94</v>
      </c>
      <c r="C17" s="176" t="s">
        <v>189</v>
      </c>
      <c r="D17" s="176" t="s">
        <v>272</v>
      </c>
      <c r="E17" s="178" t="s">
        <v>315</v>
      </c>
      <c r="F17" s="176" t="s">
        <v>448</v>
      </c>
      <c r="G17" s="176" t="s">
        <v>192</v>
      </c>
      <c r="H17" s="178" t="s">
        <v>317</v>
      </c>
      <c r="I17" s="177" t="s">
        <v>122</v>
      </c>
      <c r="J17" s="176" t="s">
        <v>310</v>
      </c>
    </row>
    <row r="18" ht="22.5" customHeight="1">
      <c r="A18" s="176" t="s">
        <v>100</v>
      </c>
      <c r="B18" s="177" t="s">
        <v>94</v>
      </c>
      <c r="C18" s="176" t="s">
        <v>435</v>
      </c>
      <c r="D18" s="176" t="s">
        <v>436</v>
      </c>
      <c r="E18" s="178" t="s">
        <v>449</v>
      </c>
      <c r="F18" s="176" t="s">
        <v>150</v>
      </c>
      <c r="G18" s="176" t="s">
        <v>450</v>
      </c>
      <c r="H18" s="178" t="s">
        <v>451</v>
      </c>
      <c r="I18" s="177" t="s">
        <v>122</v>
      </c>
      <c r="J18" s="176" t="s">
        <v>452</v>
      </c>
    </row>
    <row r="19" ht="22.5" customHeight="1">
      <c r="A19" s="176" t="s">
        <v>102</v>
      </c>
      <c r="B19" s="177" t="s">
        <v>94</v>
      </c>
      <c r="C19" s="176" t="s">
        <v>59</v>
      </c>
      <c r="D19" s="176" t="s">
        <v>272</v>
      </c>
      <c r="E19" s="178" t="s">
        <v>453</v>
      </c>
      <c r="F19" s="176" t="s">
        <v>103</v>
      </c>
      <c r="G19" s="176" t="s">
        <v>64</v>
      </c>
      <c r="H19" s="178" t="s">
        <v>319</v>
      </c>
      <c r="I19" s="177" t="s">
        <v>122</v>
      </c>
      <c r="J19" s="176" t="s">
        <v>198</v>
      </c>
    </row>
    <row r="20" ht="22.5" customHeight="1">
      <c r="A20" s="176" t="s">
        <v>105</v>
      </c>
      <c r="B20" s="177" t="s">
        <v>106</v>
      </c>
      <c r="C20" s="176" t="s">
        <v>59</v>
      </c>
      <c r="D20" s="176" t="s">
        <v>272</v>
      </c>
      <c r="E20" s="178" t="s">
        <v>454</v>
      </c>
      <c r="F20" s="176" t="s">
        <v>321</v>
      </c>
      <c r="G20" s="176" t="s">
        <v>64</v>
      </c>
      <c r="H20" s="178" t="s">
        <v>455</v>
      </c>
      <c r="I20" s="177" t="s">
        <v>122</v>
      </c>
      <c r="J20" s="176" t="s">
        <v>198</v>
      </c>
    </row>
    <row r="21" ht="22.5" customHeight="1">
      <c r="A21" s="176" t="s">
        <v>108</v>
      </c>
      <c r="B21" s="177" t="s">
        <v>106</v>
      </c>
      <c r="C21" s="176" t="s">
        <v>183</v>
      </c>
      <c r="D21" s="176" t="s">
        <v>272</v>
      </c>
      <c r="E21" s="178" t="s">
        <v>456</v>
      </c>
      <c r="F21" s="176" t="s">
        <v>457</v>
      </c>
      <c r="G21" s="176" t="s">
        <v>96</v>
      </c>
      <c r="H21" s="178" t="s">
        <v>458</v>
      </c>
      <c r="I21" s="177" t="s">
        <v>122</v>
      </c>
      <c r="J21" s="176" t="s">
        <v>183</v>
      </c>
    </row>
    <row r="22" ht="22.5" customHeight="1">
      <c r="A22" s="176" t="s">
        <v>110</v>
      </c>
      <c r="B22" s="177" t="s">
        <v>106</v>
      </c>
      <c r="C22" s="176" t="s">
        <v>435</v>
      </c>
      <c r="D22" s="176" t="s">
        <v>436</v>
      </c>
      <c r="E22" s="178" t="s">
        <v>459</v>
      </c>
      <c r="F22" s="176" t="s">
        <v>460</v>
      </c>
      <c r="G22" s="176" t="s">
        <v>461</v>
      </c>
      <c r="H22" s="178" t="s">
        <v>462</v>
      </c>
      <c r="I22" s="177" t="s">
        <v>122</v>
      </c>
      <c r="J22" s="176" t="s">
        <v>463</v>
      </c>
    </row>
    <row r="23" ht="22.5" customHeight="1">
      <c r="A23" s="176" t="s">
        <v>113</v>
      </c>
      <c r="B23" s="177" t="s">
        <v>114</v>
      </c>
      <c r="C23" s="176" t="s">
        <v>171</v>
      </c>
      <c r="D23" s="176" t="s">
        <v>272</v>
      </c>
      <c r="E23" s="178" t="s">
        <v>464</v>
      </c>
      <c r="F23" s="176" t="s">
        <v>465</v>
      </c>
      <c r="G23" s="176" t="s">
        <v>308</v>
      </c>
      <c r="H23" s="178" t="s">
        <v>466</v>
      </c>
      <c r="I23" s="177" t="s">
        <v>122</v>
      </c>
      <c r="J23" s="176" t="s">
        <v>310</v>
      </c>
    </row>
    <row r="24" ht="22.5" customHeight="1">
      <c r="A24" s="176" t="s">
        <v>117</v>
      </c>
      <c r="B24" s="177" t="s">
        <v>114</v>
      </c>
      <c r="C24" s="176" t="s">
        <v>195</v>
      </c>
      <c r="D24" s="176" t="s">
        <v>272</v>
      </c>
      <c r="E24" s="178" t="s">
        <v>467</v>
      </c>
      <c r="F24" s="176" t="s">
        <v>332</v>
      </c>
      <c r="G24" s="176" t="s">
        <v>333</v>
      </c>
      <c r="H24" s="178" t="s">
        <v>468</v>
      </c>
      <c r="I24" s="177" t="s">
        <v>122</v>
      </c>
      <c r="J24" s="176" t="s">
        <v>198</v>
      </c>
    </row>
    <row r="25" ht="22.5" customHeight="1">
      <c r="A25" s="176" t="s">
        <v>120</v>
      </c>
      <c r="B25" s="177" t="s">
        <v>114</v>
      </c>
      <c r="C25" s="176" t="s">
        <v>267</v>
      </c>
      <c r="D25" s="176" t="s">
        <v>436</v>
      </c>
      <c r="E25" s="178" t="s">
        <v>469</v>
      </c>
      <c r="F25" s="176" t="s">
        <v>111</v>
      </c>
      <c r="G25" s="176" t="s">
        <v>64</v>
      </c>
      <c r="H25" s="178" t="s">
        <v>336</v>
      </c>
      <c r="I25" s="177" t="s">
        <v>122</v>
      </c>
      <c r="J25" s="176" t="s">
        <v>198</v>
      </c>
    </row>
  </sheetData>
  <customSheetViews>
    <customSheetView guid="{B4FAA844-04BA-4DAF-A04E-CDFCEC544F69}" filter="1" showAutoFilter="1">
      <autoFilter ref="$A$1:$J$25"/>
      <extLst>
        <ext uri="GoogleSheetsCustomDataVersion1">
          <go:sheetsCustomData xmlns:go="http://customooxmlschemas.google.com/" filterViewId="514924357"/>
        </ext>
      </extLst>
    </customSheetView>
  </customSheetViews>
  <dataValidations>
    <dataValidation type="list" allowBlank="1" sqref="I2:I25">
      <formula1>"Planejado,Adotado,Em Adoção,Desenvolvendo,Não Aplicável,Não Iniciado"</formula1>
    </dataValidation>
    <dataValidation type="list" allowBlank="1" showDropDown="1" showErrorMessage="1" sqref="B2:B25">
      <formula1>"TRI 1,TRI 2,TRI 3,TRI 4"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10.38"/>
    <col customWidth="1" min="3" max="3" width="28.75"/>
    <col customWidth="1" min="4" max="4" width="92.88"/>
  </cols>
  <sheetData>
    <row r="1" ht="15.75" customHeight="1">
      <c r="A1" s="1"/>
      <c r="B1" s="1"/>
      <c r="C1" s="1"/>
    </row>
    <row r="2" ht="38.25" customHeight="1">
      <c r="A2" s="1"/>
      <c r="B2" s="180" t="s">
        <v>470</v>
      </c>
      <c r="C2" s="3"/>
      <c r="D2" s="4"/>
    </row>
    <row r="3" ht="27.75" customHeight="1">
      <c r="A3" s="1"/>
      <c r="B3" s="84" t="s">
        <v>471</v>
      </c>
      <c r="C3" s="84" t="s">
        <v>2</v>
      </c>
      <c r="D3" s="84" t="s">
        <v>472</v>
      </c>
    </row>
    <row r="4" ht="39.0" customHeight="1">
      <c r="A4" s="100"/>
      <c r="B4" s="181">
        <v>2.0</v>
      </c>
      <c r="C4" s="182" t="s">
        <v>6</v>
      </c>
      <c r="D4" s="183" t="s">
        <v>473</v>
      </c>
    </row>
    <row r="5" ht="22.5" customHeight="1">
      <c r="A5" s="100"/>
      <c r="B5" s="181">
        <v>2.0</v>
      </c>
      <c r="C5" s="182" t="s">
        <v>9</v>
      </c>
      <c r="D5" s="11"/>
    </row>
    <row r="6" ht="22.5" customHeight="1">
      <c r="A6" s="100"/>
      <c r="B6" s="181">
        <v>2.0</v>
      </c>
      <c r="C6" s="182" t="s">
        <v>12</v>
      </c>
      <c r="D6" s="11"/>
    </row>
    <row r="7" ht="22.5" customHeight="1">
      <c r="A7" s="100"/>
      <c r="B7" s="181">
        <v>2.0</v>
      </c>
      <c r="C7" s="182" t="s">
        <v>14</v>
      </c>
      <c r="D7" s="11"/>
    </row>
    <row r="8" ht="22.5" customHeight="1">
      <c r="A8" s="100"/>
      <c r="B8" s="181">
        <v>2.0</v>
      </c>
      <c r="C8" s="182" t="s">
        <v>16</v>
      </c>
      <c r="D8" s="11"/>
    </row>
    <row r="9" ht="22.5" customHeight="1">
      <c r="A9" s="100"/>
      <c r="B9" s="181">
        <v>2.0</v>
      </c>
      <c r="C9" s="182" t="s">
        <v>18</v>
      </c>
      <c r="D9" s="13"/>
    </row>
    <row r="10" ht="35.25" customHeight="1">
      <c r="A10" s="100"/>
      <c r="B10" s="184">
        <v>3.0</v>
      </c>
      <c r="C10" s="185" t="s">
        <v>21</v>
      </c>
      <c r="D10" s="186" t="s">
        <v>474</v>
      </c>
    </row>
    <row r="11" ht="28.5" customHeight="1">
      <c r="A11" s="100"/>
      <c r="B11" s="184">
        <v>3.0</v>
      </c>
      <c r="C11" s="185" t="s">
        <v>24</v>
      </c>
      <c r="D11" s="11"/>
    </row>
    <row r="12" ht="28.5" customHeight="1">
      <c r="A12" s="100"/>
      <c r="B12" s="184">
        <v>3.0</v>
      </c>
      <c r="C12" s="185" t="s">
        <v>26</v>
      </c>
      <c r="D12" s="11"/>
    </row>
    <row r="13" ht="28.5" customHeight="1">
      <c r="A13" s="100"/>
      <c r="B13" s="184">
        <v>3.0</v>
      </c>
      <c r="C13" s="185" t="s">
        <v>28</v>
      </c>
      <c r="D13" s="11"/>
    </row>
    <row r="14" ht="28.5" customHeight="1">
      <c r="A14" s="100"/>
      <c r="B14" s="184">
        <v>3.0</v>
      </c>
      <c r="C14" s="185" t="s">
        <v>30</v>
      </c>
      <c r="D14" s="13"/>
    </row>
    <row r="15" ht="42.0" customHeight="1">
      <c r="A15" s="100"/>
      <c r="B15" s="187">
        <v>4.0</v>
      </c>
      <c r="C15" s="188" t="s">
        <v>33</v>
      </c>
      <c r="D15" s="186" t="s">
        <v>475</v>
      </c>
    </row>
    <row r="16" ht="30.75" customHeight="1">
      <c r="A16" s="100"/>
      <c r="B16" s="187">
        <v>4.0</v>
      </c>
      <c r="C16" s="188" t="s">
        <v>35</v>
      </c>
      <c r="D16" s="11"/>
    </row>
    <row r="17" ht="30.75" customHeight="1">
      <c r="A17" s="100"/>
      <c r="B17" s="187">
        <v>4.0</v>
      </c>
      <c r="C17" s="188" t="s">
        <v>36</v>
      </c>
      <c r="D17" s="13"/>
    </row>
    <row r="18" ht="37.5" customHeight="1">
      <c r="A18" s="100"/>
      <c r="B18" s="189">
        <v>5.0</v>
      </c>
      <c r="C18" s="190" t="s">
        <v>39</v>
      </c>
      <c r="D18" s="191" t="s">
        <v>476</v>
      </c>
    </row>
    <row r="19" ht="37.5" customHeight="1">
      <c r="A19" s="100"/>
      <c r="B19" s="189">
        <v>5.0</v>
      </c>
      <c r="C19" s="190" t="s">
        <v>40</v>
      </c>
      <c r="D19" s="11"/>
    </row>
    <row r="20" ht="37.5" customHeight="1">
      <c r="A20" s="100"/>
      <c r="B20" s="189">
        <v>5.0</v>
      </c>
      <c r="C20" s="190" t="s">
        <v>41</v>
      </c>
      <c r="D20" s="13"/>
    </row>
    <row r="21" ht="15.75" customHeight="1"/>
    <row r="22" ht="15.75" customHeight="1">
      <c r="B22" s="192" t="s">
        <v>477</v>
      </c>
    </row>
    <row r="23" ht="15.75" customHeight="1"/>
  </sheetData>
  <mergeCells count="5">
    <mergeCell ref="B2:D2"/>
    <mergeCell ref="D4:D9"/>
    <mergeCell ref="D10:D14"/>
    <mergeCell ref="D15:D17"/>
    <mergeCell ref="D18:D20"/>
  </mergeCells>
  <hyperlinks>
    <hyperlink r:id="rId1" ref="B2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30.38"/>
    <col customWidth="1" min="3" max="3" width="36.0"/>
    <col customWidth="1" min="4" max="4" width="61.25"/>
    <col customWidth="1" min="5" max="5" width="62.88"/>
  </cols>
  <sheetData>
    <row r="1" ht="15.75" customHeight="1"/>
    <row r="2" ht="36.75" customHeight="1">
      <c r="A2" s="193"/>
      <c r="B2" s="194" t="s">
        <v>478</v>
      </c>
    </row>
    <row r="3" ht="15.75" customHeight="1"/>
    <row r="4" ht="41.25" customHeight="1">
      <c r="A4" s="23"/>
      <c r="B4" s="195" t="s">
        <v>45</v>
      </c>
      <c r="C4" s="195" t="s">
        <v>46</v>
      </c>
      <c r="D4" s="195" t="s">
        <v>479</v>
      </c>
      <c r="E4" s="195" t="s">
        <v>480</v>
      </c>
    </row>
    <row r="5" ht="15.75" customHeight="1">
      <c r="A5" s="196"/>
      <c r="B5" s="197" t="s">
        <v>481</v>
      </c>
      <c r="C5" s="198" t="s">
        <v>63</v>
      </c>
      <c r="D5" s="199" t="s">
        <v>482</v>
      </c>
      <c r="E5" s="94" t="s">
        <v>483</v>
      </c>
    </row>
    <row r="6" ht="15.75" customHeight="1">
      <c r="A6" s="196"/>
      <c r="B6" s="197" t="s">
        <v>481</v>
      </c>
      <c r="C6" s="198" t="s">
        <v>137</v>
      </c>
      <c r="D6" s="199" t="s">
        <v>484</v>
      </c>
      <c r="E6" s="94" t="s">
        <v>485</v>
      </c>
    </row>
    <row r="7" ht="15.75" customHeight="1">
      <c r="A7" s="196"/>
      <c r="B7" s="197" t="s">
        <v>481</v>
      </c>
      <c r="C7" s="198" t="s">
        <v>139</v>
      </c>
      <c r="D7" s="199" t="s">
        <v>486</v>
      </c>
      <c r="E7" s="94" t="s">
        <v>487</v>
      </c>
    </row>
    <row r="8" ht="15.75" customHeight="1">
      <c r="A8" s="196"/>
      <c r="B8" s="197" t="s">
        <v>481</v>
      </c>
      <c r="C8" s="198" t="s">
        <v>140</v>
      </c>
      <c r="D8" s="199" t="s">
        <v>488</v>
      </c>
      <c r="E8" s="94" t="s">
        <v>489</v>
      </c>
    </row>
    <row r="9" ht="15.75" customHeight="1">
      <c r="A9" s="196"/>
      <c r="B9" s="197" t="s">
        <v>481</v>
      </c>
      <c r="C9" s="198" t="s">
        <v>76</v>
      </c>
      <c r="D9" s="199" t="s">
        <v>490</v>
      </c>
      <c r="E9" s="94" t="s">
        <v>491</v>
      </c>
    </row>
    <row r="10" ht="15.75" customHeight="1">
      <c r="A10" s="196"/>
      <c r="B10" s="197" t="s">
        <v>481</v>
      </c>
      <c r="C10" s="198" t="s">
        <v>142</v>
      </c>
      <c r="D10" s="199" t="s">
        <v>492</v>
      </c>
      <c r="E10" s="94" t="s">
        <v>493</v>
      </c>
    </row>
    <row r="11" ht="15.75" customHeight="1">
      <c r="A11" s="196"/>
      <c r="B11" s="197" t="s">
        <v>481</v>
      </c>
      <c r="C11" s="198" t="s">
        <v>144</v>
      </c>
      <c r="D11" s="199" t="s">
        <v>494</v>
      </c>
      <c r="E11" s="94" t="s">
        <v>495</v>
      </c>
    </row>
    <row r="12" ht="15.75" customHeight="1">
      <c r="A12" s="196"/>
      <c r="B12" s="200" t="s">
        <v>496</v>
      </c>
      <c r="C12" s="201" t="s">
        <v>147</v>
      </c>
      <c r="D12" s="199" t="s">
        <v>497</v>
      </c>
      <c r="E12" s="94" t="s">
        <v>498</v>
      </c>
    </row>
    <row r="13" ht="15.75" customHeight="1">
      <c r="A13" s="196"/>
      <c r="B13" s="200" t="s">
        <v>496</v>
      </c>
      <c r="C13" s="201" t="s">
        <v>103</v>
      </c>
      <c r="D13" s="199" t="s">
        <v>499</v>
      </c>
      <c r="E13" s="94" t="s">
        <v>500</v>
      </c>
    </row>
    <row r="14" ht="15.75" customHeight="1">
      <c r="A14" s="196"/>
      <c r="B14" s="200" t="s">
        <v>496</v>
      </c>
      <c r="C14" s="201" t="s">
        <v>148</v>
      </c>
      <c r="D14" s="199" t="s">
        <v>501</v>
      </c>
      <c r="E14" s="97" t="s">
        <v>502</v>
      </c>
    </row>
    <row r="15" ht="15.75" customHeight="1">
      <c r="A15" s="196"/>
      <c r="B15" s="200" t="s">
        <v>496</v>
      </c>
      <c r="C15" s="201" t="s">
        <v>150</v>
      </c>
      <c r="D15" s="199" t="s">
        <v>503</v>
      </c>
      <c r="E15" s="94" t="s">
        <v>504</v>
      </c>
    </row>
    <row r="16" ht="15.75" customHeight="1">
      <c r="A16" s="196"/>
      <c r="B16" s="200" t="s">
        <v>496</v>
      </c>
      <c r="C16" s="201" t="s">
        <v>152</v>
      </c>
      <c r="D16" s="199" t="s">
        <v>505</v>
      </c>
      <c r="E16" s="94" t="s">
        <v>506</v>
      </c>
    </row>
    <row r="17" ht="15.75" customHeight="1">
      <c r="A17" s="196"/>
      <c r="B17" s="202" t="s">
        <v>507</v>
      </c>
      <c r="C17" s="203" t="s">
        <v>153</v>
      </c>
      <c r="D17" s="199" t="s">
        <v>508</v>
      </c>
      <c r="E17" s="94" t="s">
        <v>509</v>
      </c>
    </row>
    <row r="18" ht="15.75" customHeight="1">
      <c r="A18" s="196"/>
      <c r="B18" s="202" t="s">
        <v>507</v>
      </c>
      <c r="C18" s="203" t="s">
        <v>155</v>
      </c>
      <c r="D18" s="199" t="s">
        <v>510</v>
      </c>
      <c r="E18" s="94" t="s">
        <v>511</v>
      </c>
    </row>
    <row r="19" ht="15.75" customHeight="1">
      <c r="A19" s="196"/>
      <c r="B19" s="202" t="s">
        <v>507</v>
      </c>
      <c r="C19" s="203" t="s">
        <v>157</v>
      </c>
      <c r="D19" s="199" t="s">
        <v>512</v>
      </c>
      <c r="E19" s="94" t="s">
        <v>513</v>
      </c>
    </row>
    <row r="20" ht="15.75" customHeight="1">
      <c r="A20" s="196"/>
      <c r="B20" s="204" t="s">
        <v>514</v>
      </c>
      <c r="C20" s="205" t="s">
        <v>159</v>
      </c>
      <c r="D20" s="199" t="s">
        <v>515</v>
      </c>
      <c r="E20" s="94" t="s">
        <v>516</v>
      </c>
    </row>
    <row r="21" ht="15.75" customHeight="1">
      <c r="A21" s="196"/>
      <c r="B21" s="204" t="s">
        <v>514</v>
      </c>
      <c r="C21" s="205" t="s">
        <v>161</v>
      </c>
      <c r="D21" s="199" t="s">
        <v>517</v>
      </c>
      <c r="E21" s="94" t="s">
        <v>518</v>
      </c>
    </row>
    <row r="22" ht="15.75" customHeight="1">
      <c r="A22" s="196"/>
      <c r="B22" s="204" t="s">
        <v>514</v>
      </c>
      <c r="C22" s="205" t="s">
        <v>163</v>
      </c>
      <c r="D22" s="199" t="s">
        <v>519</v>
      </c>
      <c r="E22" s="94" t="s">
        <v>520</v>
      </c>
    </row>
  </sheetData>
  <mergeCells count="1">
    <mergeCell ref="B2:E2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4.38"/>
    <col customWidth="1" min="3" max="3" width="10.88"/>
    <col customWidth="1" min="4" max="4" width="69.25"/>
    <col customWidth="1" min="5" max="5" width="37.63"/>
    <col customWidth="1" min="6" max="6" width="9.63"/>
    <col customWidth="1" min="7" max="7" width="13.38"/>
    <col customWidth="1" min="8" max="8" width="20.38"/>
    <col customWidth="1" min="9" max="9" width="4.5"/>
    <col customWidth="1" min="10" max="10" width="5.25"/>
  </cols>
  <sheetData>
    <row r="1" ht="15.75" customHeight="1">
      <c r="A1" s="206" t="s">
        <v>43</v>
      </c>
      <c r="B1" s="206" t="s">
        <v>521</v>
      </c>
      <c r="C1" s="206" t="s">
        <v>339</v>
      </c>
      <c r="D1" s="207" t="s">
        <v>522</v>
      </c>
      <c r="E1" s="207" t="s">
        <v>523</v>
      </c>
      <c r="F1" s="206" t="s">
        <v>524</v>
      </c>
      <c r="G1" s="206" t="s">
        <v>525</v>
      </c>
      <c r="H1" s="206" t="s">
        <v>526</v>
      </c>
      <c r="I1" s="206" t="s">
        <v>527</v>
      </c>
      <c r="J1" s="206" t="s">
        <v>528</v>
      </c>
    </row>
    <row r="2" ht="15.75" customHeight="1">
      <c r="A2" s="208" t="s">
        <v>57</v>
      </c>
      <c r="D2" s="209" t="s">
        <v>529</v>
      </c>
      <c r="E2" s="209" t="s">
        <v>530</v>
      </c>
    </row>
    <row r="3" ht="15.75" customHeight="1">
      <c r="A3" s="208" t="s">
        <v>57</v>
      </c>
      <c r="D3" s="209" t="s">
        <v>529</v>
      </c>
      <c r="E3" s="209" t="s">
        <v>531</v>
      </c>
    </row>
    <row r="4" ht="15.75" customHeight="1">
      <c r="A4" s="208" t="s">
        <v>57</v>
      </c>
      <c r="D4" s="209" t="s">
        <v>529</v>
      </c>
      <c r="E4" s="209" t="s">
        <v>532</v>
      </c>
    </row>
    <row r="5" ht="15.75" customHeight="1">
      <c r="A5" s="208" t="s">
        <v>57</v>
      </c>
      <c r="D5" s="209" t="s">
        <v>529</v>
      </c>
      <c r="E5" s="209" t="s">
        <v>533</v>
      </c>
    </row>
    <row r="6" ht="15.75" customHeight="1">
      <c r="A6" s="208" t="s">
        <v>57</v>
      </c>
      <c r="D6" s="209" t="s">
        <v>529</v>
      </c>
      <c r="E6" s="209" t="s">
        <v>534</v>
      </c>
    </row>
    <row r="7" ht="15.75" customHeight="1">
      <c r="A7" s="210"/>
      <c r="D7" s="211"/>
      <c r="E7" s="211"/>
    </row>
    <row r="8" ht="15.75" customHeight="1">
      <c r="A8" s="208" t="s">
        <v>62</v>
      </c>
      <c r="D8" s="209" t="s">
        <v>276</v>
      </c>
      <c r="E8" s="209" t="s">
        <v>535</v>
      </c>
    </row>
    <row r="9" ht="15.75" customHeight="1">
      <c r="A9" s="208" t="s">
        <v>62</v>
      </c>
      <c r="D9" s="209" t="s">
        <v>276</v>
      </c>
      <c r="E9" s="209" t="s">
        <v>536</v>
      </c>
    </row>
    <row r="10" ht="15.75" customHeight="1">
      <c r="A10" s="208" t="s">
        <v>62</v>
      </c>
      <c r="D10" s="209" t="s">
        <v>276</v>
      </c>
      <c r="E10" s="209" t="s">
        <v>537</v>
      </c>
    </row>
    <row r="11" ht="15.75" customHeight="1">
      <c r="A11" s="208" t="s">
        <v>62</v>
      </c>
      <c r="D11" s="209" t="s">
        <v>276</v>
      </c>
      <c r="E11" s="209" t="s">
        <v>538</v>
      </c>
    </row>
    <row r="12" ht="15.75" customHeight="1">
      <c r="A12" s="210"/>
      <c r="D12" s="211"/>
      <c r="E12" s="211"/>
    </row>
    <row r="13" ht="15.75" customHeight="1">
      <c r="A13" s="208" t="s">
        <v>65</v>
      </c>
      <c r="D13" s="209" t="s">
        <v>539</v>
      </c>
      <c r="E13" s="209" t="s">
        <v>540</v>
      </c>
    </row>
    <row r="14" ht="15.75" customHeight="1">
      <c r="A14" s="208" t="s">
        <v>65</v>
      </c>
      <c r="D14" s="209" t="s">
        <v>539</v>
      </c>
      <c r="E14" s="209" t="s">
        <v>541</v>
      </c>
    </row>
    <row r="15" ht="15.75" customHeight="1">
      <c r="A15" s="208" t="s">
        <v>65</v>
      </c>
      <c r="D15" s="209" t="s">
        <v>539</v>
      </c>
      <c r="E15" s="209" t="s">
        <v>542</v>
      </c>
    </row>
    <row r="16" ht="15.75" customHeight="1">
      <c r="A16" s="208" t="s">
        <v>65</v>
      </c>
      <c r="D16" s="209" t="s">
        <v>539</v>
      </c>
      <c r="E16" s="209" t="s">
        <v>543</v>
      </c>
    </row>
    <row r="17" ht="15.75" customHeight="1">
      <c r="A17" s="208" t="s">
        <v>65</v>
      </c>
      <c r="D17" s="209" t="s">
        <v>539</v>
      </c>
      <c r="E17" s="209" t="s">
        <v>544</v>
      </c>
    </row>
    <row r="18" ht="15.75" customHeight="1">
      <c r="A18" s="210"/>
      <c r="D18" s="211"/>
      <c r="E18" s="211"/>
    </row>
    <row r="19" ht="15.75" customHeight="1">
      <c r="A19" s="208" t="s">
        <v>67</v>
      </c>
      <c r="D19" s="209" t="s">
        <v>545</v>
      </c>
      <c r="E19" s="209" t="s">
        <v>546</v>
      </c>
    </row>
    <row r="20" ht="15.75" customHeight="1">
      <c r="A20" s="208" t="s">
        <v>67</v>
      </c>
      <c r="D20" s="209" t="s">
        <v>545</v>
      </c>
      <c r="E20" s="209" t="s">
        <v>547</v>
      </c>
    </row>
    <row r="21" ht="15.75" customHeight="1">
      <c r="A21" s="208" t="s">
        <v>67</v>
      </c>
      <c r="D21" s="209" t="s">
        <v>545</v>
      </c>
      <c r="E21" s="209" t="s">
        <v>548</v>
      </c>
    </row>
    <row r="22" ht="15.75" customHeight="1">
      <c r="A22" s="210"/>
      <c r="D22" s="211"/>
      <c r="E22" s="211"/>
    </row>
    <row r="23" ht="15.75" customHeight="1">
      <c r="A23" s="208" t="s">
        <v>67</v>
      </c>
      <c r="D23" s="209" t="s">
        <v>545</v>
      </c>
      <c r="E23" s="209" t="s">
        <v>546</v>
      </c>
    </row>
    <row r="24" ht="15.75" customHeight="1">
      <c r="A24" s="208" t="s">
        <v>67</v>
      </c>
      <c r="D24" s="209" t="s">
        <v>545</v>
      </c>
      <c r="E24" s="209" t="s">
        <v>547</v>
      </c>
    </row>
    <row r="25" ht="15.75" customHeight="1">
      <c r="A25" s="208" t="s">
        <v>67</v>
      </c>
      <c r="D25" s="209" t="s">
        <v>545</v>
      </c>
      <c r="E25" s="209" t="s">
        <v>548</v>
      </c>
    </row>
    <row r="26" ht="15.75" customHeight="1">
      <c r="A26" s="210"/>
      <c r="D26" s="211"/>
      <c r="E26" s="211"/>
    </row>
    <row r="27" ht="15.75" customHeight="1">
      <c r="A27" s="208" t="s">
        <v>67</v>
      </c>
      <c r="D27" s="209" t="s">
        <v>545</v>
      </c>
      <c r="E27" s="209" t="s">
        <v>546</v>
      </c>
    </row>
    <row r="28" ht="15.75" customHeight="1">
      <c r="A28" s="208" t="s">
        <v>67</v>
      </c>
      <c r="D28" s="209" t="s">
        <v>545</v>
      </c>
      <c r="E28" s="209" t="s">
        <v>547</v>
      </c>
    </row>
    <row r="29" ht="15.75" customHeight="1">
      <c r="A29" s="208" t="s">
        <v>67</v>
      </c>
      <c r="D29" s="209" t="s">
        <v>545</v>
      </c>
      <c r="E29" s="209" t="s">
        <v>548</v>
      </c>
    </row>
    <row r="30" ht="15.75" customHeight="1">
      <c r="A30" s="210"/>
      <c r="D30" s="211"/>
      <c r="E30" s="211"/>
    </row>
    <row r="31" ht="15.75" customHeight="1">
      <c r="A31" s="208" t="s">
        <v>67</v>
      </c>
      <c r="D31" s="209" t="s">
        <v>545</v>
      </c>
      <c r="E31" s="209" t="s">
        <v>546</v>
      </c>
    </row>
    <row r="32" ht="15.75" customHeight="1">
      <c r="A32" s="208" t="s">
        <v>67</v>
      </c>
      <c r="D32" s="209" t="s">
        <v>545</v>
      </c>
      <c r="E32" s="209" t="s">
        <v>547</v>
      </c>
    </row>
    <row r="33" ht="15.75" customHeight="1">
      <c r="A33" s="208" t="s">
        <v>67</v>
      </c>
      <c r="D33" s="209" t="s">
        <v>545</v>
      </c>
      <c r="E33" s="209" t="s">
        <v>548</v>
      </c>
    </row>
    <row r="34" ht="15.75" customHeight="1">
      <c r="A34" s="210"/>
      <c r="D34" s="211"/>
      <c r="E34" s="211"/>
    </row>
    <row r="35" ht="15.75" customHeight="1">
      <c r="A35" s="208" t="s">
        <v>70</v>
      </c>
      <c r="D35" s="209" t="s">
        <v>549</v>
      </c>
      <c r="E35" s="209" t="s">
        <v>550</v>
      </c>
    </row>
    <row r="36" ht="15.75" customHeight="1">
      <c r="A36" s="208" t="s">
        <v>70</v>
      </c>
      <c r="D36" s="209" t="s">
        <v>549</v>
      </c>
      <c r="E36" s="209" t="s">
        <v>551</v>
      </c>
    </row>
    <row r="37" ht="15.75" customHeight="1">
      <c r="A37" s="208" t="s">
        <v>70</v>
      </c>
      <c r="D37" s="209" t="s">
        <v>549</v>
      </c>
      <c r="E37" s="209" t="s">
        <v>552</v>
      </c>
    </row>
    <row r="38" ht="15.75" customHeight="1">
      <c r="A38" s="210"/>
      <c r="D38" s="211"/>
      <c r="E38" s="211"/>
    </row>
    <row r="39" ht="15.75" customHeight="1">
      <c r="A39" s="208" t="s">
        <v>70</v>
      </c>
      <c r="D39" s="209" t="s">
        <v>549</v>
      </c>
      <c r="E39" s="209" t="s">
        <v>550</v>
      </c>
    </row>
    <row r="40" ht="15.75" customHeight="1">
      <c r="A40" s="208" t="s">
        <v>70</v>
      </c>
      <c r="D40" s="209" t="s">
        <v>549</v>
      </c>
      <c r="E40" s="209" t="s">
        <v>551</v>
      </c>
    </row>
    <row r="41" ht="15.75" customHeight="1">
      <c r="A41" s="208" t="s">
        <v>70</v>
      </c>
      <c r="D41" s="209" t="s">
        <v>549</v>
      </c>
      <c r="E41" s="209" t="s">
        <v>552</v>
      </c>
    </row>
    <row r="42" ht="15.75" customHeight="1">
      <c r="A42" s="210"/>
      <c r="D42" s="211"/>
      <c r="E42" s="211"/>
    </row>
    <row r="43" ht="15.75" customHeight="1">
      <c r="A43" s="208" t="s">
        <v>70</v>
      </c>
      <c r="D43" s="209" t="s">
        <v>549</v>
      </c>
      <c r="E43" s="209" t="s">
        <v>550</v>
      </c>
    </row>
    <row r="44" ht="15.75" customHeight="1">
      <c r="A44" s="208" t="s">
        <v>70</v>
      </c>
      <c r="D44" s="209" t="s">
        <v>549</v>
      </c>
      <c r="E44" s="209" t="s">
        <v>551</v>
      </c>
    </row>
    <row r="45" ht="15.75" customHeight="1">
      <c r="A45" s="208" t="s">
        <v>70</v>
      </c>
      <c r="D45" s="209" t="s">
        <v>549</v>
      </c>
      <c r="E45" s="209" t="s">
        <v>552</v>
      </c>
    </row>
    <row r="46" ht="15.75" customHeight="1">
      <c r="A46" s="210"/>
      <c r="D46" s="211"/>
      <c r="E46" s="211"/>
    </row>
    <row r="47" ht="15.75" customHeight="1">
      <c r="A47" s="208" t="s">
        <v>72</v>
      </c>
      <c r="D47" s="209" t="s">
        <v>553</v>
      </c>
      <c r="E47" s="209" t="s">
        <v>554</v>
      </c>
    </row>
    <row r="48" ht="15.75" customHeight="1">
      <c r="A48" s="208" t="s">
        <v>72</v>
      </c>
      <c r="D48" s="209" t="s">
        <v>553</v>
      </c>
      <c r="E48" s="209" t="s">
        <v>555</v>
      </c>
    </row>
    <row r="49" ht="15.75" customHeight="1">
      <c r="A49" s="208" t="s">
        <v>72</v>
      </c>
      <c r="D49" s="209" t="s">
        <v>553</v>
      </c>
      <c r="E49" s="209" t="s">
        <v>556</v>
      </c>
    </row>
    <row r="50" ht="15.75" customHeight="1">
      <c r="A50" s="208" t="s">
        <v>72</v>
      </c>
      <c r="D50" s="209" t="s">
        <v>553</v>
      </c>
      <c r="E50" s="209" t="s">
        <v>557</v>
      </c>
    </row>
    <row r="51" ht="15.75" customHeight="1">
      <c r="A51" s="210"/>
      <c r="D51" s="211"/>
      <c r="E51" s="211"/>
    </row>
    <row r="52" ht="15.75" customHeight="1">
      <c r="A52" s="208" t="s">
        <v>75</v>
      </c>
      <c r="D52" s="209" t="s">
        <v>558</v>
      </c>
      <c r="E52" s="209" t="s">
        <v>559</v>
      </c>
    </row>
    <row r="53" ht="15.75" customHeight="1">
      <c r="A53" s="208" t="s">
        <v>75</v>
      </c>
      <c r="D53" s="209" t="s">
        <v>558</v>
      </c>
      <c r="E53" s="209" t="s">
        <v>560</v>
      </c>
    </row>
    <row r="54" ht="15.75" customHeight="1">
      <c r="A54" s="208" t="s">
        <v>75</v>
      </c>
      <c r="D54" s="209" t="s">
        <v>558</v>
      </c>
      <c r="E54" s="209" t="s">
        <v>561</v>
      </c>
    </row>
    <row r="55" ht="15.75" customHeight="1">
      <c r="A55" s="208" t="s">
        <v>75</v>
      </c>
      <c r="D55" s="209" t="s">
        <v>558</v>
      </c>
      <c r="E55" s="209" t="s">
        <v>562</v>
      </c>
    </row>
    <row r="56" ht="15.75" customHeight="1">
      <c r="A56" s="210"/>
      <c r="D56" s="211"/>
      <c r="E56" s="211"/>
    </row>
    <row r="57" ht="15.75" customHeight="1">
      <c r="A57" s="208" t="s">
        <v>75</v>
      </c>
      <c r="D57" s="209" t="s">
        <v>558</v>
      </c>
      <c r="E57" s="209" t="s">
        <v>559</v>
      </c>
    </row>
    <row r="58" ht="15.75" customHeight="1">
      <c r="A58" s="208" t="s">
        <v>75</v>
      </c>
      <c r="D58" s="209" t="s">
        <v>558</v>
      </c>
      <c r="E58" s="209" t="s">
        <v>560</v>
      </c>
    </row>
    <row r="59" ht="15.75" customHeight="1">
      <c r="A59" s="208" t="s">
        <v>75</v>
      </c>
      <c r="D59" s="209" t="s">
        <v>558</v>
      </c>
      <c r="E59" s="209" t="s">
        <v>561</v>
      </c>
    </row>
    <row r="60" ht="15.75" customHeight="1">
      <c r="A60" s="208" t="s">
        <v>75</v>
      </c>
      <c r="D60" s="209" t="s">
        <v>558</v>
      </c>
      <c r="E60" s="209" t="s">
        <v>562</v>
      </c>
    </row>
    <row r="61" ht="15.75" customHeight="1">
      <c r="A61" s="210"/>
      <c r="D61" s="211"/>
      <c r="E61" s="211"/>
    </row>
    <row r="62" ht="15.75" customHeight="1">
      <c r="A62" s="208" t="s">
        <v>75</v>
      </c>
      <c r="D62" s="209" t="s">
        <v>558</v>
      </c>
      <c r="E62" s="209" t="s">
        <v>559</v>
      </c>
    </row>
    <row r="63" ht="15.75" customHeight="1">
      <c r="A63" s="208" t="s">
        <v>75</v>
      </c>
      <c r="D63" s="209" t="s">
        <v>558</v>
      </c>
      <c r="E63" s="209" t="s">
        <v>560</v>
      </c>
    </row>
    <row r="64" ht="15.75" customHeight="1">
      <c r="A64" s="208" t="s">
        <v>75</v>
      </c>
      <c r="D64" s="209" t="s">
        <v>558</v>
      </c>
      <c r="E64" s="209" t="s">
        <v>561</v>
      </c>
    </row>
    <row r="65" ht="15.75" customHeight="1">
      <c r="A65" s="208" t="s">
        <v>75</v>
      </c>
      <c r="D65" s="209" t="s">
        <v>558</v>
      </c>
      <c r="E65" s="209" t="s">
        <v>562</v>
      </c>
    </row>
    <row r="66" ht="15.75" customHeight="1">
      <c r="A66" s="210"/>
      <c r="D66" s="211"/>
      <c r="E66" s="211"/>
    </row>
    <row r="67" ht="15.75" customHeight="1">
      <c r="A67" s="208" t="s">
        <v>75</v>
      </c>
      <c r="D67" s="209" t="s">
        <v>558</v>
      </c>
      <c r="E67" s="209" t="s">
        <v>559</v>
      </c>
    </row>
    <row r="68" ht="15.75" customHeight="1">
      <c r="A68" s="208" t="s">
        <v>75</v>
      </c>
      <c r="D68" s="209" t="s">
        <v>558</v>
      </c>
      <c r="E68" s="209" t="s">
        <v>560</v>
      </c>
    </row>
    <row r="69" ht="15.75" customHeight="1">
      <c r="A69" s="208" t="s">
        <v>75</v>
      </c>
      <c r="D69" s="209" t="s">
        <v>558</v>
      </c>
      <c r="E69" s="209" t="s">
        <v>561</v>
      </c>
    </row>
    <row r="70" ht="15.75" customHeight="1">
      <c r="A70" s="208" t="s">
        <v>75</v>
      </c>
      <c r="D70" s="209" t="s">
        <v>558</v>
      </c>
      <c r="E70" s="209" t="s">
        <v>562</v>
      </c>
    </row>
    <row r="71" ht="15.75" customHeight="1">
      <c r="A71" s="210"/>
      <c r="D71" s="211"/>
      <c r="E71" s="211"/>
    </row>
    <row r="72" ht="15.75" customHeight="1">
      <c r="A72" s="208" t="s">
        <v>78</v>
      </c>
      <c r="D72" s="209" t="s">
        <v>563</v>
      </c>
      <c r="E72" s="209" t="s">
        <v>564</v>
      </c>
    </row>
    <row r="73" ht="15.75" customHeight="1">
      <c r="A73" s="208" t="s">
        <v>78</v>
      </c>
      <c r="D73" s="209" t="s">
        <v>563</v>
      </c>
      <c r="E73" s="209" t="s">
        <v>565</v>
      </c>
    </row>
    <row r="74" ht="15.75" customHeight="1">
      <c r="A74" s="208" t="s">
        <v>78</v>
      </c>
      <c r="D74" s="209" t="s">
        <v>563</v>
      </c>
      <c r="E74" s="209" t="s">
        <v>566</v>
      </c>
    </row>
    <row r="75" ht="15.75" customHeight="1">
      <c r="A75" s="208" t="s">
        <v>78</v>
      </c>
      <c r="D75" s="209" t="s">
        <v>563</v>
      </c>
      <c r="E75" s="209" t="s">
        <v>567</v>
      </c>
    </row>
    <row r="76" ht="15.75" customHeight="1">
      <c r="A76" s="210"/>
      <c r="D76" s="211"/>
      <c r="E76" s="211"/>
    </row>
    <row r="77" ht="15.75" customHeight="1">
      <c r="A77" s="208" t="s">
        <v>79</v>
      </c>
      <c r="D77" s="209" t="s">
        <v>568</v>
      </c>
      <c r="E77" s="209" t="s">
        <v>569</v>
      </c>
    </row>
    <row r="78" ht="15.75" customHeight="1">
      <c r="A78" s="208" t="s">
        <v>79</v>
      </c>
      <c r="D78" s="209" t="s">
        <v>568</v>
      </c>
      <c r="E78" s="209" t="s">
        <v>570</v>
      </c>
    </row>
    <row r="79" ht="15.75" customHeight="1">
      <c r="A79" s="208" t="s">
        <v>79</v>
      </c>
      <c r="D79" s="209" t="s">
        <v>568</v>
      </c>
      <c r="E79" s="209" t="s">
        <v>571</v>
      </c>
    </row>
    <row r="80" ht="15.75" customHeight="1">
      <c r="A80" s="210"/>
      <c r="D80" s="211"/>
      <c r="E80" s="211"/>
    </row>
    <row r="81" ht="15.75" customHeight="1">
      <c r="A81" s="208" t="s">
        <v>82</v>
      </c>
      <c r="D81" s="209" t="s">
        <v>572</v>
      </c>
      <c r="E81" s="209" t="s">
        <v>573</v>
      </c>
    </row>
    <row r="82" ht="15.75" customHeight="1">
      <c r="A82" s="208" t="s">
        <v>82</v>
      </c>
      <c r="D82" s="209" t="s">
        <v>572</v>
      </c>
      <c r="E82" s="209" t="s">
        <v>574</v>
      </c>
    </row>
    <row r="83" ht="15.75" customHeight="1">
      <c r="A83" s="208" t="s">
        <v>82</v>
      </c>
      <c r="D83" s="209" t="s">
        <v>572</v>
      </c>
      <c r="E83" s="209" t="s">
        <v>575</v>
      </c>
    </row>
    <row r="84" ht="15.75" customHeight="1">
      <c r="A84" s="208" t="s">
        <v>82</v>
      </c>
      <c r="D84" s="209" t="s">
        <v>572</v>
      </c>
      <c r="E84" s="209" t="s">
        <v>576</v>
      </c>
    </row>
    <row r="85" ht="15.75" customHeight="1">
      <c r="A85" s="210"/>
      <c r="D85" s="211"/>
      <c r="E85" s="211"/>
    </row>
    <row r="86" ht="15.75" customHeight="1">
      <c r="A86" s="208" t="s">
        <v>82</v>
      </c>
      <c r="D86" s="209" t="s">
        <v>572</v>
      </c>
      <c r="E86" s="209" t="s">
        <v>573</v>
      </c>
    </row>
    <row r="87" ht="15.75" customHeight="1">
      <c r="A87" s="208" t="s">
        <v>82</v>
      </c>
      <c r="D87" s="209" t="s">
        <v>572</v>
      </c>
      <c r="E87" s="209" t="s">
        <v>574</v>
      </c>
    </row>
    <row r="88" ht="15.75" customHeight="1">
      <c r="A88" s="208" t="s">
        <v>82</v>
      </c>
      <c r="D88" s="209" t="s">
        <v>572</v>
      </c>
      <c r="E88" s="209" t="s">
        <v>575</v>
      </c>
    </row>
    <row r="89" ht="15.75" customHeight="1">
      <c r="A89" s="208" t="s">
        <v>82</v>
      </c>
      <c r="D89" s="209" t="s">
        <v>572</v>
      </c>
      <c r="E89" s="209" t="s">
        <v>576</v>
      </c>
    </row>
    <row r="90" ht="15.75" customHeight="1">
      <c r="A90" s="210"/>
      <c r="D90" s="211"/>
      <c r="E90" s="211"/>
    </row>
    <row r="91" ht="15.75" customHeight="1">
      <c r="A91" s="208" t="s">
        <v>85</v>
      </c>
      <c r="D91" s="209" t="s">
        <v>577</v>
      </c>
      <c r="E91" s="209" t="s">
        <v>578</v>
      </c>
    </row>
    <row r="92" ht="15.75" customHeight="1">
      <c r="A92" s="208" t="s">
        <v>85</v>
      </c>
      <c r="D92" s="209" t="s">
        <v>577</v>
      </c>
      <c r="E92" s="209" t="s">
        <v>579</v>
      </c>
    </row>
    <row r="93" ht="15.75" customHeight="1">
      <c r="A93" s="208" t="s">
        <v>85</v>
      </c>
      <c r="D93" s="209" t="s">
        <v>577</v>
      </c>
      <c r="E93" s="209" t="s">
        <v>580</v>
      </c>
    </row>
    <row r="94" ht="15.75" customHeight="1">
      <c r="A94" s="208" t="s">
        <v>85</v>
      </c>
      <c r="D94" s="209" t="s">
        <v>577</v>
      </c>
      <c r="E94" s="209" t="s">
        <v>581</v>
      </c>
    </row>
    <row r="95" ht="15.75" customHeight="1">
      <c r="A95" s="210"/>
      <c r="D95" s="211"/>
      <c r="E95" s="211"/>
    </row>
    <row r="96" ht="15.75" customHeight="1">
      <c r="A96" s="208" t="s">
        <v>85</v>
      </c>
      <c r="D96" s="209" t="s">
        <v>577</v>
      </c>
      <c r="E96" s="209" t="s">
        <v>578</v>
      </c>
    </row>
    <row r="97" ht="15.75" customHeight="1">
      <c r="A97" s="208" t="s">
        <v>85</v>
      </c>
      <c r="D97" s="209" t="s">
        <v>577</v>
      </c>
      <c r="E97" s="209" t="s">
        <v>579</v>
      </c>
    </row>
    <row r="98" ht="15.75" customHeight="1">
      <c r="A98" s="208" t="s">
        <v>85</v>
      </c>
      <c r="D98" s="209" t="s">
        <v>577</v>
      </c>
      <c r="E98" s="209" t="s">
        <v>580</v>
      </c>
    </row>
    <row r="99" ht="15.75" customHeight="1">
      <c r="A99" s="208" t="s">
        <v>85</v>
      </c>
      <c r="D99" s="209" t="s">
        <v>577</v>
      </c>
      <c r="E99" s="209" t="s">
        <v>581</v>
      </c>
    </row>
    <row r="100" ht="15.75" customHeight="1">
      <c r="A100" s="210"/>
      <c r="D100" s="211"/>
      <c r="E100" s="211"/>
    </row>
    <row r="101" ht="15.75" customHeight="1">
      <c r="A101" s="208" t="s">
        <v>87</v>
      </c>
      <c r="D101" s="209" t="s">
        <v>582</v>
      </c>
      <c r="E101" s="209" t="s">
        <v>583</v>
      </c>
    </row>
    <row r="102" ht="15.75" customHeight="1">
      <c r="A102" s="208" t="s">
        <v>87</v>
      </c>
      <c r="D102" s="209" t="s">
        <v>582</v>
      </c>
      <c r="E102" s="209" t="s">
        <v>584</v>
      </c>
    </row>
    <row r="103" ht="15.75" customHeight="1">
      <c r="A103" s="208" t="s">
        <v>87</v>
      </c>
      <c r="D103" s="209" t="s">
        <v>582</v>
      </c>
      <c r="E103" s="209" t="s">
        <v>585</v>
      </c>
    </row>
    <row r="104" ht="15.75" customHeight="1">
      <c r="A104" s="208" t="s">
        <v>87</v>
      </c>
      <c r="D104" s="209" t="s">
        <v>582</v>
      </c>
      <c r="E104" s="209" t="s">
        <v>586</v>
      </c>
    </row>
    <row r="105" ht="15.75" customHeight="1">
      <c r="A105" s="208" t="s">
        <v>87</v>
      </c>
      <c r="D105" s="209" t="s">
        <v>582</v>
      </c>
      <c r="E105" s="209" t="s">
        <v>587</v>
      </c>
    </row>
    <row r="106" ht="15.75" customHeight="1">
      <c r="A106" s="210"/>
      <c r="D106" s="211"/>
      <c r="E106" s="211"/>
    </row>
    <row r="107" ht="15.75" customHeight="1">
      <c r="A107" s="208" t="s">
        <v>90</v>
      </c>
      <c r="D107" s="209" t="s">
        <v>588</v>
      </c>
      <c r="E107" s="209" t="s">
        <v>589</v>
      </c>
    </row>
    <row r="108" ht="15.75" customHeight="1">
      <c r="A108" s="208" t="s">
        <v>90</v>
      </c>
      <c r="D108" s="209" t="s">
        <v>588</v>
      </c>
      <c r="E108" s="209" t="s">
        <v>590</v>
      </c>
    </row>
    <row r="109" ht="15.75" customHeight="1">
      <c r="A109" s="208" t="s">
        <v>90</v>
      </c>
      <c r="D109" s="209" t="s">
        <v>588</v>
      </c>
      <c r="E109" s="209" t="s">
        <v>591</v>
      </c>
    </row>
    <row r="110" ht="15.75" customHeight="1">
      <c r="A110" s="208" t="s">
        <v>90</v>
      </c>
      <c r="D110" s="209" t="s">
        <v>588</v>
      </c>
      <c r="E110" s="209" t="s">
        <v>592</v>
      </c>
    </row>
    <row r="111" ht="15.75" customHeight="1">
      <c r="A111" s="210"/>
      <c r="D111" s="211"/>
      <c r="E111" s="211"/>
    </row>
    <row r="112" ht="15.75" customHeight="1">
      <c r="A112" s="208" t="s">
        <v>445</v>
      </c>
      <c r="D112" s="209" t="s">
        <v>588</v>
      </c>
      <c r="E112" s="209" t="s">
        <v>589</v>
      </c>
    </row>
    <row r="113" ht="15.75" customHeight="1">
      <c r="A113" s="208" t="s">
        <v>445</v>
      </c>
      <c r="D113" s="209" t="s">
        <v>588</v>
      </c>
      <c r="E113" s="209" t="s">
        <v>590</v>
      </c>
    </row>
    <row r="114" ht="15.75" customHeight="1">
      <c r="A114" s="208" t="s">
        <v>445</v>
      </c>
      <c r="D114" s="209" t="s">
        <v>588</v>
      </c>
      <c r="E114" s="209" t="s">
        <v>591</v>
      </c>
    </row>
    <row r="115" ht="15.75" customHeight="1">
      <c r="A115" s="208" t="s">
        <v>445</v>
      </c>
      <c r="D115" s="209" t="s">
        <v>588</v>
      </c>
      <c r="E115" s="209" t="s">
        <v>592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DropDown="1" showErrorMessage="1" sqref="A2:A115">
      <formula1>"T1-N2-N3-01,T1-N2-02,T1-N2-N4-03,T1-N2-04,T1-N2-05,T1-N2-N3-06,T1-N2-07,T1-N2-08,T1-N2-09,T1-N3-10,T1-N2-N3-11,T1-N3-12,T1-N3-13,T1-N3-14"</formula1>
    </dataValidation>
  </dataValidations>
  <drawing r:id="rId1"/>
  <tableParts count="1">
    <tablePart r:id="rId3"/>
  </tableParts>
</worksheet>
</file>