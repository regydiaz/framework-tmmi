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xr:revisionPtr revIDLastSave="0" documentId="8_{49929477-2453-46EE-9F7F-7FE25A040FE2}" xr6:coauthVersionLast="47" xr6:coauthVersionMax="47" xr10:uidLastSave="{00000000-0000-0000-0000-000000000000}"/>
  <bookViews>
    <workbookView xWindow="0" yWindow="0" windowWidth="0" windowHeight="0" firstSheet="1" xr2:uid="{00000000-000D-0000-FFFF-FFFF00000000}"/>
  </bookViews>
  <sheets>
    <sheet name="TMMi - Visão Institucional" sheetId="1" r:id="rId1"/>
    <sheet name="TMMi - Visão Squads" sheetId="2" r:id="rId2"/>
    <sheet name="Score TMMi" sheetId="7" r:id="rId3"/>
    <sheet name="ANUAL - Roadmap por Squads" sheetId="8" r:id="rId4"/>
  </sheets>
  <definedNames>
    <definedName name="Z_B4FAA844_04BA_4DAF_A04E_CDFCEC544F69_.wvu.FilterData" localSheetId="3" hidden="1">'ANUAL - Roadmap por Squads'!$A$1:$J$25</definedName>
  </definedNames>
  <calcPr calcId="191028"/>
  <customWorkbookViews>
    <customWorkbookView name="Agrupar por Trimestre" guid="{B4FAA844-04BA-4DAF-A04E-CDFCEC544F69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0L/b3u3DmX/t5hpfIbUXz05p06ESz4dn5CT4jqgw7Pw="/>
    </ext>
  </extLst>
</workbook>
</file>

<file path=xl/calcChain.xml><?xml version="1.0" encoding="utf-8"?>
<calcChain xmlns="http://schemas.openxmlformats.org/spreadsheetml/2006/main">
  <c r="H96" i="7" l="1"/>
  <c r="H95" i="7"/>
  <c r="H94" i="7"/>
  <c r="H93" i="7"/>
  <c r="H92" i="7"/>
  <c r="H91" i="7"/>
  <c r="H90" i="7"/>
  <c r="H89" i="7"/>
  <c r="H88" i="7"/>
  <c r="H87" i="7"/>
  <c r="H86" i="7"/>
  <c r="H83" i="7"/>
  <c r="H82" i="7"/>
  <c r="H81" i="7"/>
  <c r="H80" i="7"/>
  <c r="H79" i="7"/>
  <c r="H78" i="7"/>
  <c r="H77" i="7"/>
  <c r="H76" i="7"/>
  <c r="H75" i="7"/>
  <c r="H74" i="7"/>
  <c r="H73" i="7"/>
  <c r="H70" i="7"/>
  <c r="H69" i="7"/>
  <c r="H68" i="7"/>
  <c r="H67" i="7"/>
  <c r="H66" i="7"/>
  <c r="H65" i="7"/>
  <c r="H64" i="7"/>
  <c r="H63" i="7"/>
  <c r="H62" i="7"/>
  <c r="H61" i="7"/>
  <c r="H60" i="7"/>
  <c r="H57" i="7"/>
  <c r="H56" i="7"/>
  <c r="H55" i="7"/>
  <c r="H54" i="7"/>
  <c r="H53" i="7"/>
  <c r="H52" i="7"/>
  <c r="H51" i="7"/>
  <c r="H50" i="7"/>
  <c r="H49" i="7"/>
  <c r="H48" i="7"/>
  <c r="H47" i="7"/>
  <c r="H44" i="7"/>
  <c r="H43" i="7"/>
  <c r="H42" i="7"/>
  <c r="H41" i="7"/>
  <c r="H40" i="7"/>
  <c r="H39" i="7"/>
  <c r="H38" i="7"/>
  <c r="H37" i="7"/>
  <c r="H36" i="7"/>
  <c r="H35" i="7"/>
  <c r="H34" i="7"/>
  <c r="H31" i="7"/>
  <c r="H30" i="7"/>
  <c r="H29" i="7"/>
  <c r="H28" i="7"/>
  <c r="H27" i="7"/>
  <c r="H26" i="7"/>
  <c r="H25" i="7"/>
  <c r="H24" i="7"/>
  <c r="H23" i="7"/>
  <c r="H22" i="7"/>
  <c r="H21" i="7"/>
  <c r="H18" i="7"/>
  <c r="H17" i="7"/>
  <c r="H16" i="7"/>
  <c r="H15" i="7"/>
  <c r="H14" i="7"/>
  <c r="H13" i="7"/>
  <c r="H12" i="7"/>
  <c r="H11" i="7"/>
  <c r="H10" i="7"/>
  <c r="H9" i="7"/>
  <c r="H8" i="7"/>
  <c r="H5" i="7"/>
  <c r="H4" i="7"/>
  <c r="M17" i="2"/>
  <c r="L17" i="2"/>
  <c r="K17" i="2"/>
  <c r="J17" i="2"/>
  <c r="I17" i="2"/>
  <c r="H17" i="2"/>
  <c r="G17" i="2"/>
  <c r="M16" i="2"/>
  <c r="L16" i="2"/>
  <c r="K16" i="2"/>
  <c r="J16" i="2"/>
  <c r="I16" i="2"/>
  <c r="H16" i="2"/>
  <c r="G16" i="2"/>
  <c r="M15" i="2"/>
  <c r="L15" i="2"/>
  <c r="K15" i="2"/>
  <c r="J15" i="2"/>
  <c r="I15" i="2"/>
  <c r="H15" i="2"/>
  <c r="G15" i="2"/>
  <c r="M14" i="2"/>
  <c r="L14" i="2"/>
  <c r="K14" i="2"/>
  <c r="J14" i="2"/>
  <c r="I14" i="2"/>
  <c r="H14" i="2"/>
  <c r="G14" i="2"/>
  <c r="M13" i="2"/>
  <c r="L13" i="2"/>
  <c r="K13" i="2"/>
  <c r="J13" i="2"/>
  <c r="I13" i="2"/>
  <c r="H13" i="2"/>
  <c r="G13" i="2"/>
  <c r="M12" i="2"/>
  <c r="L12" i="2"/>
  <c r="K12" i="2"/>
  <c r="J12" i="2"/>
  <c r="I12" i="2"/>
  <c r="H12" i="2"/>
  <c r="G12" i="2"/>
  <c r="M11" i="2"/>
  <c r="L11" i="2"/>
  <c r="K11" i="2"/>
  <c r="J11" i="2"/>
  <c r="I11" i="2"/>
  <c r="H11" i="2"/>
  <c r="G11" i="2"/>
  <c r="M10" i="2"/>
  <c r="L10" i="2"/>
  <c r="K10" i="2"/>
  <c r="J10" i="2"/>
  <c r="I10" i="2"/>
  <c r="H10" i="2"/>
  <c r="G10" i="2"/>
  <c r="M9" i="2"/>
  <c r="L9" i="2"/>
  <c r="K9" i="2"/>
  <c r="J9" i="2"/>
  <c r="I9" i="2"/>
  <c r="H9" i="2"/>
  <c r="G9" i="2"/>
  <c r="M8" i="2"/>
  <c r="L8" i="2"/>
  <c r="K8" i="2"/>
  <c r="J8" i="2"/>
  <c r="I8" i="2"/>
  <c r="H8" i="2"/>
  <c r="G8" i="2"/>
  <c r="M7" i="2"/>
  <c r="L7" i="2"/>
  <c r="K7" i="2"/>
  <c r="J7" i="2"/>
  <c r="I7" i="2"/>
  <c r="H7" i="2"/>
  <c r="G7" i="2"/>
  <c r="M6" i="2"/>
  <c r="L6" i="2"/>
  <c r="K6" i="2"/>
  <c r="J6" i="2"/>
  <c r="I6" i="2"/>
  <c r="H6" i="2"/>
  <c r="G6" i="2"/>
  <c r="M5" i="2"/>
  <c r="L5" i="2"/>
  <c r="K5" i="2"/>
  <c r="J5" i="2"/>
  <c r="I5" i="2"/>
  <c r="H5" i="2"/>
  <c r="G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" authorId="0" shapeId="0" xr:uid="{00000000-0006-0000-0100-000015000000}">
      <text>
        <r>
          <rPr>
            <sz val="10"/>
            <color rgb="FF000000"/>
            <rFont val="Arial"/>
            <scheme val="minor"/>
          </rPr>
          <t>======
ID#AAABynskbK4
Regiane Dias Barbosa    (2026-01-15 17:15:04)
(Governança STG)</t>
        </r>
      </text>
    </comment>
    <comment ref="E7" authorId="0" shapeId="0" xr:uid="{00000000-0006-0000-0100-000001000000}">
      <text>
        <r>
          <rPr>
            <sz val="10"/>
            <color rgb="FF000000"/>
            <rFont val="Arial"/>
            <scheme val="minor"/>
          </rPr>
          <t>======
ID#AAABynskbMk
Regiane Dias Barbosa    (2026-01-15 17:38:53)
Indicadores complementares</t>
        </r>
      </text>
    </comment>
    <comment ref="E8" authorId="0" shapeId="0" xr:uid="{00000000-0006-0000-0100-000014000000}">
      <text>
        <r>
          <rPr>
            <sz val="10"/>
            <color rgb="FF000000"/>
            <rFont val="Arial"/>
            <scheme val="minor"/>
          </rPr>
          <t>======
ID#AAABynskbK8
Regiane Dias Barbosa    (2026-01-15 17:15:59)
Levantar P1/ P2 e P3 para mensurar o escopo de testes de regressão</t>
        </r>
      </text>
    </comment>
    <comment ref="E9" authorId="0" shapeId="0" xr:uid="{00000000-0006-0000-0100-000013000000}">
      <text>
        <r>
          <rPr>
            <sz val="10"/>
            <color rgb="FF000000"/>
            <rFont val="Arial"/>
            <scheme val="minor"/>
          </rPr>
          <t>======
ID#AAABynskbLA
Regiane Dias Barbosa    (2026-01-15 17:18:45)
(Revisar P1/P2/P3 existente)</t>
        </r>
      </text>
    </comment>
    <comment ref="E10" authorId="0" shapeId="0" xr:uid="{00000000-0006-0000-0100-000012000000}">
      <text>
        <r>
          <rPr>
            <sz val="10"/>
            <color rgb="FF000000"/>
            <rFont val="Arial"/>
            <scheme val="minor"/>
          </rPr>
          <t>======
ID#AAABynskbLE
Regiane Dias Barbosa    (2026-01-15 17:20:02)
N2 - Foco em (Pipeline regressão P1)</t>
        </r>
      </text>
    </comment>
    <comment ref="E11" authorId="0" shapeId="0" xr:uid="{00000000-0006-0000-0100-000011000000}">
      <text>
        <r>
          <rPr>
            <sz val="10"/>
            <color rgb="FF000000"/>
            <rFont val="Arial"/>
            <scheme val="minor"/>
          </rPr>
          <t>======
ID#AAABynskbLM
Regiane Dias Barbosa    (2026-01-15 17:20:27)
(Robot → Playwright 20% – Cartões)</t>
        </r>
      </text>
    </comment>
    <comment ref="E12" authorId="0" shapeId="0" xr:uid="{00000000-0006-0000-0100-00000F000000}">
      <text>
        <r>
          <rPr>
            <sz val="10"/>
            <color rgb="FF000000"/>
            <rFont val="Arial"/>
            <scheme val="minor"/>
          </rPr>
          <t>======
ID#AAABynskbLY
Regiane Dias Barbosa    (2026-01-15 17:21:14)
(Automatizar mínimo viável P1 – por squad)</t>
        </r>
      </text>
    </comment>
    <comment ref="E13" authorId="0" shapeId="0" xr:uid="{00000000-0006-0000-0100-000010000000}">
      <text>
        <r>
          <rPr>
            <sz val="10"/>
            <color rgb="FF000000"/>
            <rFont val="Arial"/>
            <scheme val="minor"/>
          </rPr>
          <t>======
ID#AAABynskbLU
Regiane Dias Barbosa    (2026-01-15 17:20:58)
Monitoramento e controle (Evidência report/log via Playwright))</t>
        </r>
      </text>
    </comment>
    <comment ref="E14" authorId="0" shapeId="0" xr:uid="{00000000-0006-0000-0100-00000E000000}">
      <text>
        <r>
          <rPr>
            <sz val="10"/>
            <color rgb="FF000000"/>
            <rFont val="Arial"/>
            <scheme val="minor"/>
          </rPr>
          <t>======
ID#AAABynskbLc
Regiane Dias Barbosa    (2026-01-15 17:21:55)
(Quality Review) (Qualidade do PBI ≥ 3)
Quality Strategy</t>
        </r>
      </text>
    </comment>
    <comment ref="E15" authorId="0" shapeId="0" xr:uid="{00000000-0006-0000-0100-00000D000000}">
      <text>
        <r>
          <rPr>
            <sz val="10"/>
            <color rgb="FF000000"/>
            <rFont val="Arial"/>
            <scheme val="minor"/>
          </rPr>
          <t>======
ID#AAABynskbLg
Regiane Dias Barbosa    (2026-01-15 17:22:24)
N3 (Endpoints críticos – avanço faseado)</t>
        </r>
      </text>
    </comment>
    <comment ref="E16" authorId="0" shapeId="0" xr:uid="{00000000-0006-0000-0100-00000C000000}">
      <text>
        <r>
          <rPr>
            <sz val="10"/>
            <color rgb="FF000000"/>
            <rFont val="Arial"/>
            <scheme val="minor"/>
          </rPr>
          <t>======
ID#AAABynskbLk
Regiane Dias Barbosa    (2026-01-15 17:22:41)
(Estratégia NFR Lite por produto/jornada)</t>
        </r>
      </text>
    </comment>
    <comment ref="E17" authorId="0" shapeId="0" xr:uid="{00000000-0006-0000-0100-00000B000000}">
      <text>
        <r>
          <rPr>
            <sz val="10"/>
            <color rgb="FF000000"/>
            <rFont val="Arial"/>
            <scheme val="minor"/>
          </rPr>
          <t>======
ID#AAABynskbLs
Regiane Dias Barbosa    (2026-01-15 17:23:40)
(Piloto NFR – Cartões)</t>
        </r>
      </text>
    </comment>
    <comment ref="E18" authorId="0" shapeId="0" xr:uid="{00000000-0006-0000-0100-00000A000000}">
      <text>
        <r>
          <rPr>
            <sz val="10"/>
            <color rgb="FF000000"/>
            <rFont val="Arial"/>
            <scheme val="minor"/>
          </rPr>
          <t>======
ID#AAABynskbL0
Regiane Dias Barbosa    (2026-01-15 17:25:39)
(Formalizar regressão por squad)</t>
        </r>
      </text>
    </comment>
    <comment ref="E19" authorId="0" shapeId="0" xr:uid="{00000000-0006-0000-0100-000009000000}">
      <text>
        <r>
          <rPr>
            <sz val="10"/>
            <color rgb="FF000000"/>
            <rFont val="Arial"/>
            <scheme val="minor"/>
          </rPr>
          <t>======
ID#AAABynskbL4
Regiane Dias Barbosa    (2026-01-15 17:25:52)
(Estabilizar automação)</t>
        </r>
      </text>
    </comment>
    <comment ref="E20" authorId="0" shapeId="0" xr:uid="{00000000-0006-0000-0100-000008000000}">
      <text>
        <r>
          <rPr>
            <sz val="10"/>
            <color rgb="FF000000"/>
            <rFont val="Arial"/>
            <scheme val="minor"/>
          </rPr>
          <t>======
ID#AAABynskbL8
Regiane Dias Barbosa    (2026-01-15 17:26:05)
(Expandir NFR com cadência)</t>
        </r>
      </text>
    </comment>
    <comment ref="E21" authorId="0" shapeId="0" xr:uid="{00000000-0006-0000-0100-000007000000}">
      <text>
        <r>
          <rPr>
            <sz val="10"/>
            <color rgb="FF000000"/>
            <rFont val="Arial"/>
            <scheme val="minor"/>
          </rPr>
          <t>======
ID#AAABynskbMA
Regiane Dias Barbosa    (2026-01-15 17:26:23)
(Onboarding + Playwright + QR + NFR Lite)</t>
        </r>
      </text>
    </comment>
    <comment ref="E23" authorId="0" shapeId="0" xr:uid="{00000000-0006-0000-0100-000006000000}">
      <text>
        <r>
          <rPr>
            <sz val="10"/>
            <color rgb="FF000000"/>
            <rFont val="Arial"/>
            <scheme val="minor"/>
          </rPr>
          <t>======
ID#AAABynskbME
Regiane Dias Barbosa    (2026-01-15 17:26:53)
(Refinar P1/P2/P3 por dados)</t>
        </r>
      </text>
    </comment>
    <comment ref="E24" authorId="0" shapeId="0" xr:uid="{00000000-0006-0000-0100-000005000000}">
      <text>
        <r>
          <rPr>
            <sz val="10"/>
            <color rgb="FF000000"/>
            <rFont val="Arial"/>
            <scheme val="minor"/>
          </rPr>
          <t>======
ID#AAABynskbMI
Regiane Dias Barbosa    (2026-01-15 17:27:04)
(NFR) (Thresholds + go/no-go)</t>
        </r>
      </text>
    </comment>
    <comment ref="E25" authorId="0" shapeId="0" xr:uid="{00000000-0006-0000-0100-000004000000}">
      <text>
        <r>
          <rPr>
            <sz val="10"/>
            <color rgb="FF000000"/>
            <rFont val="Arial"/>
            <scheme val="minor"/>
          </rPr>
          <t>======
ID#AAABynskbMM
Regiane Dias Barbosa    (2026-01-15 17:27:21)
N2 – Política/Estratégia N2 – Ambiente
N3 – Organização (Versão completa + governança madura)</t>
        </r>
      </text>
    </comment>
    <comment ref="E26" authorId="0" shapeId="0" xr:uid="{00000000-0006-0000-0100-000003000000}">
      <text>
        <r>
          <rPr>
            <sz val="10"/>
            <color rgb="FF000000"/>
            <rFont val="Arial"/>
            <scheme val="minor"/>
          </rPr>
          <t>======
ID#AAABynskbMQ
Regiane Dias Barbosa    (2026-01-15 17:27:41)
(início) (RCA leve + checklist rotina)</t>
        </r>
      </text>
    </comment>
    <comment ref="E27" authorId="0" shapeId="0" xr:uid="{00000000-0006-0000-0100-000002000000}">
      <text>
        <r>
          <rPr>
            <sz val="10"/>
            <color rgb="FF000000"/>
            <rFont val="Arial"/>
            <scheme val="minor"/>
          </rPr>
          <t>======
ID#AAABynskbMU
Regiane Dias Barbosa    (2026-01-15 17:27:59)
(Relatório anual orientado por dados)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YifBhea1FuJhV07FPOcOjakWUp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3" authorId="0" shapeId="0" xr:uid="{00000000-0006-0000-0600-000002000000}">
      <text>
        <r>
          <rPr>
            <sz val="10"/>
            <color rgb="FF000000"/>
            <rFont val="Arial"/>
            <scheme val="minor"/>
          </rPr>
          <t>======
ID#AAAByqyMLWo
Regiane Dias Barbosa    (2026-01-19 18:27:15)
Testes de Progressivos</t>
        </r>
      </text>
    </comment>
    <comment ref="D14" authorId="0" shapeId="0" xr:uid="{00000000-0006-0000-0600-000001000000}">
      <text>
        <r>
          <rPr>
            <sz val="10"/>
            <color rgb="FF000000"/>
            <rFont val="Arial"/>
            <scheme val="minor"/>
          </rPr>
          <t>======
ID#AAAByqyMLWs
Regiane Dias Barbosa    (2026-01-19 18:31:38)
Verificar como estão as evidências que servirão de insumos para as GMUDs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zM4GxuZvVbAsv5jTCLuJgGz1CWg=="/>
    </ext>
  </extLst>
</comments>
</file>

<file path=xl/sharedStrings.xml><?xml version="1.0" encoding="utf-8"?>
<sst xmlns="http://schemas.openxmlformats.org/spreadsheetml/2006/main" count="906" uniqueCount="264">
  <si>
    <t>Visão do TMMi a nível organizacional</t>
  </si>
  <si>
    <t>Nível TMMi</t>
  </si>
  <si>
    <t>Área de Processo</t>
  </si>
  <si>
    <t>Status 
Institucional</t>
  </si>
  <si>
    <t>Observação</t>
  </si>
  <si>
    <t>Nível 2</t>
  </si>
  <si>
    <t>Política e Estratégia de Testes</t>
  </si>
  <si>
    <t>Desenvolvendo</t>
  </si>
  <si>
    <t>Política aplicada na prática, porém ainda em formalização (versão “Lite” em construção).</t>
  </si>
  <si>
    <t>Planejamento de Testes</t>
  </si>
  <si>
    <t>Adotado</t>
  </si>
  <si>
    <t>Planejamento por risco (P1/P2/P3) definido e replicável nas squads.</t>
  </si>
  <si>
    <t>Monitoramento e Controle dos Testes</t>
  </si>
  <si>
    <t>Métricas, dashboards e acompanhamento recorrente já existentes.</t>
  </si>
  <si>
    <t>Desenho e Execução de Testes</t>
  </si>
  <si>
    <t>Padrões de execução e evidência definidos (manual + automação).</t>
  </si>
  <si>
    <t>Gerenciamento de Defeitos</t>
  </si>
  <si>
    <t>Fluxo institucionalizado e utilizado pelas squads.</t>
  </si>
  <si>
    <t>Ambiente de Testes</t>
  </si>
  <si>
    <t>Ambiente de STG existente e utilizado (governança em evolução).</t>
  </si>
  <si>
    <t>Nível 3</t>
  </si>
  <si>
    <t>Organização de Testes</t>
  </si>
  <si>
    <t>Em Adoção</t>
  </si>
  <si>
    <t>Chapter estruturado; maturidade varia entre squads.</t>
  </si>
  <si>
    <t>Programa de Treinamento em Testes</t>
  </si>
  <si>
    <t>Conteúdos e práticas existem, ainda sem formalização completa.</t>
  </si>
  <si>
    <t>Integração dos Testes ao SDLC</t>
  </si>
  <si>
    <t>Quality Review e upstream presentes em parte das squads.</t>
  </si>
  <si>
    <t>Testes Não Funcionais</t>
  </si>
  <si>
    <t>Iniciativas pontuais; estratégia e cadência em construção.</t>
  </si>
  <si>
    <t>Revisões Técnicas (Quality Review)</t>
  </si>
  <si>
    <t>Prática definida, utilizada e replicável nas squads mais maduras com Quality Strategy</t>
  </si>
  <si>
    <t>Nível 4</t>
  </si>
  <si>
    <t>Medição dos Testes</t>
  </si>
  <si>
    <t>Indicadores comparáveis iniciados; consolidação virá como consequência do N2/N3.</t>
  </si>
  <si>
    <t>Avaliação da Qualidade do Produto</t>
  </si>
  <si>
    <t>Análises por produto/jornada começando a partir de dados reais.</t>
  </si>
  <si>
    <t>Revisões Avançadas</t>
  </si>
  <si>
    <t>Não Iniciado</t>
  </si>
  <si>
    <t>Nível 5</t>
  </si>
  <si>
    <t>Prevenção de Defeitos</t>
  </si>
  <si>
    <t>Ainda não há atuação preventiva estruturada (RCA sistemático).</t>
  </si>
  <si>
    <t>Controle da Qualidade</t>
  </si>
  <si>
    <t>Evolução futura após estabilização do N4.</t>
  </si>
  <si>
    <t>Otimização do Processo de Testes</t>
  </si>
  <si>
    <t>Visão 2026 - Atualizada</t>
  </si>
  <si>
    <t>ID MELHORIA</t>
  </si>
  <si>
    <t>Trimestre</t>
  </si>
  <si>
    <t>Fase</t>
  </si>
  <si>
    <t>Nível e Área de Processo</t>
  </si>
  <si>
    <t>Envolvidos</t>
  </si>
  <si>
    <t xml:space="preserve">Squads Cartões </t>
  </si>
  <si>
    <t>Squads Duplicatas</t>
  </si>
  <si>
    <t>Ativos</t>
  </si>
  <si>
    <t>Demonstrações</t>
  </si>
  <si>
    <t>Operações</t>
  </si>
  <si>
    <t>Plataforma</t>
  </si>
  <si>
    <t>Interop</t>
  </si>
  <si>
    <t>Negotiation</t>
  </si>
  <si>
    <t>Consent</t>
  </si>
  <si>
    <t>T1-N2-N3-01</t>
  </si>
  <si>
    <t>TRI 1</t>
  </si>
  <si>
    <t>Engenharia de Qualidade</t>
  </si>
  <si>
    <r>
      <rPr>
        <b/>
        <sz val="11"/>
        <color rgb="FF274E13"/>
        <rFont val="Arial"/>
      </rPr>
      <t xml:space="preserve">N2 – Ambiente de Testes
</t>
    </r>
    <r>
      <rPr>
        <b/>
        <sz val="11"/>
        <color rgb="FF0C343D"/>
        <rFont val="Arial"/>
      </rPr>
      <t>N3 – Organização de Testes</t>
    </r>
  </si>
  <si>
    <t>Cloud / Engenharia / 
QA / Tech Leads</t>
  </si>
  <si>
    <t>T1-N2-02</t>
  </si>
  <si>
    <t>N2 – Política de Testes</t>
  </si>
  <si>
    <t>QA / Gestão</t>
  </si>
  <si>
    <t>T1-N2-N4-03</t>
  </si>
  <si>
    <r>
      <rPr>
        <b/>
        <sz val="11"/>
        <color rgb="FFFF9900"/>
        <rFont val="Arial"/>
      </rPr>
      <t xml:space="preserve">N4 – Medição dos Testes
</t>
    </r>
    <r>
      <rPr>
        <b/>
        <sz val="11"/>
        <color rgb="FF274E13"/>
        <rFont val="Arial"/>
      </rPr>
      <t>N2 – Monitoramento e Controle</t>
    </r>
  </si>
  <si>
    <t>T1-N2-04</t>
  </si>
  <si>
    <r>
      <rPr>
        <b/>
        <sz val="11"/>
        <color rgb="FF274E13"/>
        <rFont val="Arial"/>
      </rPr>
      <t xml:space="preserve">N2 – Planejamento de Testes - </t>
    </r>
    <r>
      <rPr>
        <b/>
        <i/>
        <sz val="11"/>
        <color rgb="FF274E13"/>
        <rFont val="Arial"/>
      </rPr>
      <t>Levantamento</t>
    </r>
  </si>
  <si>
    <t>QA / Produto / 
Squad</t>
  </si>
  <si>
    <t>T1-N2-05</t>
  </si>
  <si>
    <r>
      <rPr>
        <b/>
        <sz val="11"/>
        <color rgb="FF274E13"/>
        <rFont val="Arial"/>
      </rPr>
      <t xml:space="preserve">N2 – Planejamento de Testes - </t>
    </r>
    <r>
      <rPr>
        <b/>
        <i/>
        <sz val="11"/>
        <color rgb="FF274E13"/>
        <rFont val="Arial"/>
      </rPr>
      <t>Revisão</t>
    </r>
  </si>
  <si>
    <t>T1-N2-N3-06</t>
  </si>
  <si>
    <r>
      <rPr>
        <b/>
        <sz val="11"/>
        <color rgb="FF0C343D"/>
        <rFont val="Arial"/>
      </rPr>
      <t xml:space="preserve">N3 – Integração dos Testes ao SDLC
</t>
    </r>
    <r>
      <rPr>
        <b/>
        <sz val="11"/>
        <color rgb="FF274E13"/>
        <rFont val="Arial"/>
      </rPr>
      <t xml:space="preserve">N2 – Ambiente de Testes </t>
    </r>
  </si>
  <si>
    <t>QA / Cloud / 
DevOps</t>
  </si>
  <si>
    <t>T1-N2-07</t>
  </si>
  <si>
    <t>N2 – Desenho e Execução de Testes</t>
  </si>
  <si>
    <t>QA / QEs / 
Dev (apoio)</t>
  </si>
  <si>
    <t>T1-N2-08</t>
  </si>
  <si>
    <t>T1-N2-09</t>
  </si>
  <si>
    <t xml:space="preserve">N2 – Desenho e Execução
N2 – Monitoramento e Controle </t>
  </si>
  <si>
    <t>QA</t>
  </si>
  <si>
    <t>T1-N3-10</t>
  </si>
  <si>
    <t>N3 – Revisões Técnicas</t>
  </si>
  <si>
    <t>QA / Produto /
Squad</t>
  </si>
  <si>
    <t>T1-N2-N3-11</t>
  </si>
  <si>
    <r>
      <rPr>
        <b/>
        <sz val="11"/>
        <color rgb="FF274E13"/>
        <rFont val="Arial"/>
      </rPr>
      <t xml:space="preserve">N2 – Desenho e Execução
</t>
    </r>
    <r>
      <rPr>
        <b/>
        <sz val="11"/>
        <color rgb="FF0C343D"/>
        <rFont val="Arial"/>
      </rPr>
      <t xml:space="preserve">N3 – Integração SDLC </t>
    </r>
  </si>
  <si>
    <t>T1-N3-12</t>
  </si>
  <si>
    <t xml:space="preserve">N3 – Testes Não Funcionais </t>
  </si>
  <si>
    <t>QA (NFR) / Cloud / 
Produto / Tech Leads</t>
  </si>
  <si>
    <t>T1-N3-13</t>
  </si>
  <si>
    <t xml:space="preserve">N3 – Testes Não Funcionais (piloto)
N3 – Integração ao SDLC </t>
  </si>
  <si>
    <t>QA (NFR) / Cloud / 
DevOps</t>
  </si>
  <si>
    <t>T2-N2-N3-01</t>
  </si>
  <si>
    <t>TRI 2</t>
  </si>
  <si>
    <r>
      <rPr>
        <b/>
        <sz val="11"/>
        <color rgb="FF0C343D"/>
        <rFont val="Arial"/>
      </rPr>
      <t xml:space="preserve">N3 – Organização de Teste
</t>
    </r>
    <r>
      <rPr>
        <b/>
        <sz val="11"/>
        <color rgb="FF274E13"/>
        <rFont val="Arial"/>
      </rPr>
      <t>N2 – Planejamento</t>
    </r>
  </si>
  <si>
    <t>QA / Produto</t>
  </si>
  <si>
    <t>NÃO INICIADO</t>
  </si>
  <si>
    <t>T2-N2-N3-02</t>
  </si>
  <si>
    <r>
      <rPr>
        <b/>
        <sz val="11"/>
        <color rgb="FF0C343D"/>
        <rFont val="Arial"/>
      </rPr>
      <t xml:space="preserve">N3 – Integração ao SDLC
</t>
    </r>
    <r>
      <rPr>
        <b/>
        <sz val="11"/>
        <color rgb="FF274E13"/>
        <rFont val="Arial"/>
      </rPr>
      <t>N2 – Ambiente de Testes</t>
    </r>
  </si>
  <si>
    <t>T2-N3-03</t>
  </si>
  <si>
    <t>QA (NFR) / Produto / 
Tech Leads</t>
  </si>
  <si>
    <t>T2-N3-04</t>
  </si>
  <si>
    <t>N3 – Programa de Treinamento em Testes</t>
  </si>
  <si>
    <t>QA / 
Gestão</t>
  </si>
  <si>
    <t>T3-N4-01</t>
  </si>
  <si>
    <t>TRI 3</t>
  </si>
  <si>
    <t>N4 – Avaliação da Qualidade do Produto (início)
N4 – Medição (Incidentes × falhas)</t>
  </si>
  <si>
    <t>T3-N3-N4-02</t>
  </si>
  <si>
    <r>
      <rPr>
        <b/>
        <sz val="11"/>
        <color rgb="FFFF9900"/>
        <rFont val="Arial"/>
      </rPr>
      <t xml:space="preserve">N4 – Medição
</t>
    </r>
    <r>
      <rPr>
        <b/>
        <sz val="11"/>
        <color rgb="FF0C343D"/>
        <rFont val="Arial"/>
      </rPr>
      <t>N3 – Organização</t>
    </r>
  </si>
  <si>
    <t>T3-N4-03</t>
  </si>
  <si>
    <t>N4 – Medição dos Testes</t>
  </si>
  <si>
    <t>QA (NFR) / Gestão / 
Tech Leads</t>
  </si>
  <si>
    <t>T4-N2-N3-01</t>
  </si>
  <si>
    <t>TRI 4</t>
  </si>
  <si>
    <r>
      <rPr>
        <b/>
        <sz val="11"/>
        <color rgb="FF274E13"/>
        <rFont val="Arial"/>
      </rPr>
      <t xml:space="preserve">N2 – Política/Estratégia
</t>
    </r>
    <r>
      <rPr>
        <b/>
        <sz val="11"/>
        <color rgb="FF0C343D"/>
        <rFont val="Arial"/>
      </rPr>
      <t>N3 – Organização</t>
    </r>
  </si>
  <si>
    <t>QA / Cloud / 
Engenharia</t>
  </si>
  <si>
    <t>T4-N5-02</t>
  </si>
  <si>
    <t>N5 – Prevenção de Defeitos</t>
  </si>
  <si>
    <t>QA / Squad / 
Gestão</t>
  </si>
  <si>
    <t>T4-N4-03</t>
  </si>
  <si>
    <t>Score TMMi - TRIMESTRE 1</t>
  </si>
  <si>
    <t>Legenda</t>
  </si>
  <si>
    <t>SQUAD</t>
  </si>
  <si>
    <t>ID_MELHORIA</t>
  </si>
  <si>
    <t>NÍVEL E ÁREA DE PROCESSO</t>
  </si>
  <si>
    <t>ENTREGÁVEL</t>
  </si>
  <si>
    <t>DOR (DEFINITION OF DONE)</t>
  </si>
  <si>
    <t>EVIDÊNCIAS</t>
  </si>
  <si>
    <t>SCORE</t>
  </si>
  <si>
    <t>STATUS</t>
  </si>
  <si>
    <t>TODAS AS SQUADS</t>
  </si>
  <si>
    <t>(MVP) Política de Testes “Lite” (1 página)</t>
  </si>
  <si>
    <t>Documento publicado (escopo, papéis, critérios mínimos, evidência mínima, compliance) + comunicação oficial</t>
  </si>
  <si>
    <t>Política de Testes – TAG IMF0</t>
  </si>
  <si>
    <t>PLANEJADO</t>
  </si>
  <si>
    <t>N4 – Medição dos Testes (início) 
N2 – Monitoramento e Controle</t>
  </si>
  <si>
    <t>(MVP) Indicadores comparáveis (baseline + tendência) + 3 gatilhos de ação</t>
  </si>
  <si>
    <t>Dashboard publicado + definições + tendência trimestral + gatilhos e ações padrão documentados</t>
  </si>
  <si>
    <t>DESENVOLVENDO</t>
  </si>
  <si>
    <t>EM ADOÇÃO</t>
  </si>
  <si>
    <t>ADOTADO</t>
  </si>
  <si>
    <t>ATIVOS</t>
  </si>
  <si>
    <t>(MVP) Governança mínima de STG (regras, janelas, massa e auditoria)</t>
  </si>
  <si>
    <t>Regras publicadas + controle de acesso + janelas definidas + procedimento de restauração de massa + registro/auditoria (quem/quando/o quê)</t>
  </si>
  <si>
    <t>(MVP) Levantar testes prioritários por risco por squad (P1/P2/P3) e registrar no Azure</t>
  </si>
  <si>
    <t xml:space="preserve">Lista dos testes de regressão priorizados P1/P2/P3 no Azure + critério de priorização </t>
  </si>
  <si>
    <t>(MVP) Revisar P1/P2/P3 existente (sanidade e atualização mínima)</t>
  </si>
  <si>
    <t>Revisão registrada (data) + ajustes se necessário + link no Azure</t>
  </si>
  <si>
    <t>(MVP) Migrar 20% dos testes automatizados do Robot para Playwright (baseline Q1, priorização por risco)</t>
  </si>
  <si>
    <t>Baseline Robot (data de corte) + lista migrada + evidência de execução; foco preferencial em P1</t>
  </si>
  <si>
    <t>(MVP) Rodar automação em pipeline (template padrão replicável) para regressão P1</t>
  </si>
  <si>
    <t>Pipeline rodando + gatilho definido + artefatos (report/log) + doc mínima</t>
  </si>
  <si>
    <t>(MVP) Automatizar o mínimo viável de P1 no Playwright por squad (regressão crítica)</t>
  </si>
  <si>
    <t>Suites P1 + report/log + padrão de código aplicado + rastreio com PBI/Plano</t>
  </si>
  <si>
    <t>(Aplicado via Playwright) Evidência padronizada de execução (report/log)</t>
  </si>
  <si>
    <t>Evidência já gerada nos reports do Playwright e anexada/armazenada conforme padrão do repo/pipeline</t>
  </si>
  <si>
    <t>(MVP) Qualidade do PBI: manter média ≥3 no Q1 (campo oficial)</t>
  </si>
  <si>
    <t>Rubrica/checklist por PBI + relatório mensal com média ≥3</t>
  </si>
  <si>
    <t>(Stretch – faseado internamente) Avançar cobertura de regressão automatizada dos endpoints críticos (baseline Q1)</t>
  </si>
  <si>
    <t>Baseline endpoints críticos datado + mapeamento endpoint→teste + evolução mensal comprovada por execução em pipeline</t>
  </si>
  <si>
    <t>(MVP) Estratégia NFR “Lite” por produto/jornada (o que medir, quando rodar, critérios e evidência)</t>
  </si>
  <si>
    <t>Documento Lite publicado + backlog NFR priorizado por risco + cadência definida</t>
  </si>
  <si>
    <t xml:space="preserve">(Piloto) NFR em pipeline com baseline e evidência (evitar atuação reativa) - Cartões </t>
  </si>
  <si>
    <t>Pipeline NFR rodando + report versionado + baseline coletado (2–4 semanas) + registro de execução</t>
  </si>
  <si>
    <t>DEMONSTRAÇÕES</t>
  </si>
  <si>
    <t>OPERAÇÕES</t>
  </si>
  <si>
    <t>PLATAFORMA</t>
  </si>
  <si>
    <t>INTEROP</t>
  </si>
  <si>
    <t xml:space="preserve">(Piloto) NFR em pipeline com baseline e evidência (evitar atuação reativa) </t>
  </si>
  <si>
    <t>NEGOTIATION</t>
  </si>
  <si>
    <t>(Piloto) NFR em pipeline com baseline e evidência (evitar atuação reativa)</t>
  </si>
  <si>
    <t>CONSENT</t>
  </si>
  <si>
    <t>ID Melhoria</t>
  </si>
  <si>
    <t>Squad</t>
  </si>
  <si>
    <t>Entrega</t>
  </si>
  <si>
    <t>TMMi (Nível – Área)</t>
  </si>
  <si>
    <t>Evidência / DOR (Definition of Ready)</t>
  </si>
  <si>
    <t>Status Geral</t>
  </si>
  <si>
    <t>Responsável</t>
  </si>
  <si>
    <t>Engenharia e Governança</t>
  </si>
  <si>
    <t>Todas (TAG)</t>
  </si>
  <si>
    <t>N2 – Ambiente de Testes / N3 – Organização de Testes</t>
  </si>
  <si>
    <t>Cloud / Engenharia / QA / Tech Leads</t>
  </si>
  <si>
    <t>Planejado</t>
  </si>
  <si>
    <t>Cloud + QA Chapter</t>
  </si>
  <si>
    <t>QA (Governança)</t>
  </si>
  <si>
    <t>QA Chapter</t>
  </si>
  <si>
    <t>Melhoria Contínua</t>
  </si>
  <si>
    <t>N4 – Medição dos Testes (início) / N2 – Monitoramento e Controle</t>
  </si>
  <si>
    <t>Todas exceto: Plataforma (Cartões) e Consent+Interop (Duplicatas)</t>
  </si>
  <si>
    <t>N2 – Planejamento de Testes</t>
  </si>
  <si>
    <t>QA / Produto / Squad</t>
  </si>
  <si>
    <t>QAs por squad + Produto</t>
  </si>
  <si>
    <t>Plataforma (Cartões) + Consent e Interop (Duplicatas)</t>
  </si>
  <si>
    <t>QAs dessas squads + Produto</t>
  </si>
  <si>
    <t>QA + Cloud</t>
  </si>
  <si>
    <t>Cartões + Duplicatas</t>
  </si>
  <si>
    <t>N3 – Integração dos Testes ao SDLC / N2 – Ambiente de Testes</t>
  </si>
  <si>
    <t>QA / Cloud / DevOps</t>
  </si>
  <si>
    <t>Trombeta + Cloud</t>
  </si>
  <si>
    <t>Cartões (todas as squads) exceto Plataforma</t>
  </si>
  <si>
    <t>QA / QEs / Dev (apoio)</t>
  </si>
  <si>
    <t>QAs Cartões Anselmo</t>
  </si>
  <si>
    <t>Cartões + Duplicatas (onde aplicável)</t>
  </si>
  <si>
    <t>QAs por squad</t>
  </si>
  <si>
    <t>N2 – Desenho e Execução / N2 – Monitoramento e Controle</t>
  </si>
  <si>
    <t>QAs (via padrão Playwright)</t>
  </si>
  <si>
    <t>Duplicatas (Interop + Negotiation)</t>
  </si>
  <si>
    <t>N3 – Revisões Técnicas (Quality Review)</t>
  </si>
  <si>
    <t>André + Trombeta</t>
  </si>
  <si>
    <t>N2 – Desenho e Execução / N3 – Integração SDLC</t>
  </si>
  <si>
    <t>NFR</t>
  </si>
  <si>
    <t>Produtos: Cartões + Duplicatas</t>
  </si>
  <si>
    <t>N3 – Testes Não Funcionais</t>
  </si>
  <si>
    <t>QA (NFR) / Cloud / Produto / Tech Leads</t>
  </si>
  <si>
    <t>Recurso(s) NFR + QA Chapter</t>
  </si>
  <si>
    <t>NFR + Cloud</t>
  </si>
  <si>
    <t>Piloto (Cartões: Operações)</t>
  </si>
  <si>
    <t>N3 – Testes Não Funcionais (piloto) / N3 – Integração ao SDLC</t>
  </si>
  <si>
    <t>QA (NFR) / Cloud / DevOps</t>
  </si>
  <si>
    <t>Recurso(s) NFR + Cloud</t>
  </si>
  <si>
    <t>T1-N3-14</t>
  </si>
  <si>
    <t>Piloto (Duplicatas: Consent)</t>
  </si>
  <si>
    <t>Escalar padrão (P1/P2/P3 + regressão mínima) para squads restantes e formalizar regressão por squad</t>
  </si>
  <si>
    <t>N3 – Organização de Testes / N2 – Planejamento</t>
  </si>
  <si>
    <t>Regra de regressão por squad publicada + suites P1 padronizadas por squad</t>
  </si>
  <si>
    <t>QA Chapter + QAs</t>
  </si>
  <si>
    <t>Estabilizar automação (reduzir flaky, padronizar massa/dados e asserções)</t>
  </si>
  <si>
    <t>N3 – Integração ao SDLC / N2 – Ambiente de Testes</t>
  </si>
  <si>
    <t>Queda de falhas flakey + padrão de dados/massa + evidência de estabilidade em pipeline</t>
  </si>
  <si>
    <t>QA Chapter + Cloud</t>
  </si>
  <si>
    <t>Expandir NFR do piloto para top jornadas críticas com cadência (nightly/pré-release)</t>
  </si>
  <si>
    <t>QA (NFR) / Produto / Tech Leads</t>
  </si>
  <si>
    <t>Execução recorrente + reports versionados + cobertura NFR nas jornadas priorizadas</t>
  </si>
  <si>
    <t>Recurso(s) NFR</t>
  </si>
  <si>
    <t>Treinamento mínimo formal (onboarding + padrão Playwright + QR + NFR Lite)</t>
  </si>
  <si>
    <t>Trilha publicada + registro de execução (quem fez) + material centralizado</t>
  </si>
  <si>
    <t>Mapear incidentes por amostragem e correlacionar com falhas de teste (funcional + NFR)</t>
  </si>
  <si>
    <t>N4 – Avaliação da Qualidade do Produto (início) / N4 – Medição</t>
  </si>
  <si>
    <t>Relatório por produto/squad + incidente→jornada→lacuna→ação + priorização ajustada</t>
  </si>
  <si>
    <t>QA + Produto</t>
  </si>
  <si>
    <t>Refinar P1/P2/P3 usando dados (defeitos/incidentes/tendências)</t>
  </si>
  <si>
    <t>N4 – Medição / N3 – Organização</t>
  </si>
  <si>
    <t>Matriz de risco atualizada por dados + atualização do P1/P2/P3 no Azure</t>
  </si>
  <si>
    <t>Definir thresholds e gatilhos go/no-go (baseline → limites) e aplicar em 1 release</t>
  </si>
  <si>
    <t>N4 – Medição dos Testes (NFR)</t>
  </si>
  <si>
    <t>QA (NFR) / Gestão / Tech Leads</t>
  </si>
  <si>
    <t>Thresholds publicados + regra de decisão + evidência de aplicação em release</t>
  </si>
  <si>
    <t>Recurso(s) NFR + Gestão</t>
  </si>
  <si>
    <t>Política/estratégia completas + governança madura de STG/dados</t>
  </si>
  <si>
    <t>N2 – Política/ Estratégia / N2 – Ambiente / N3 – Organização</t>
  </si>
  <si>
    <t>QA / Cloud / Engenharia</t>
  </si>
  <si>
    <t>Versão completa publicada + auditoria simples de aderência + melhorias institucionalizadas</t>
  </si>
  <si>
    <t>RCA leve + checklist de prevenção como rotina</t>
  </si>
  <si>
    <t>N5 – Prevenção de Defeitos (início)</t>
  </si>
  <si>
    <t>QA / Squad / Gestão</t>
  </si>
  <si>
    <t>Checklist publicado + evidência de uso + RCA em recorrências + ações preventivas</t>
  </si>
  <si>
    <t>Gestão</t>
  </si>
  <si>
    <t>Relatório executivo anual orientado por dados (incluindo NFR)</t>
  </si>
  <si>
    <t>Relatório anual com tendências, decisões tomadas e próximos focos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</si>
</sst>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.m"/>
  </numFmts>
  <fonts count="32">
    <font>
      <sz val="10"/>
      <color rgb="FF000000"/>
      <name val="Arial"/>
      <scheme val="minor"/>
    </font>
    <font>
      <b/>
      <sz val="10"/>
      <color theme="1"/>
      <name val="Arial"/>
    </font>
    <font>
      <b/>
      <sz val="17"/>
      <color rgb="FFFFFFFF"/>
      <name val="Arial"/>
    </font>
    <font>
      <sz val="10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0"/>
      <color rgb="FFFFFFFF"/>
      <name val="Arial"/>
    </font>
    <font>
      <b/>
      <sz val="10"/>
      <color rgb="FF274E13"/>
      <name val="Arial"/>
    </font>
    <font>
      <b/>
      <sz val="10"/>
      <color rgb="FF1C4587"/>
      <name val="Arial"/>
    </font>
    <font>
      <b/>
      <sz val="10"/>
      <color rgb="FFFF9900"/>
      <name val="Arial"/>
    </font>
    <font>
      <b/>
      <sz val="10"/>
      <color rgb="FF9900FF"/>
      <name val="Arial"/>
    </font>
    <font>
      <b/>
      <sz val="20"/>
      <color rgb="FFFFFFFF"/>
      <name val="Arial"/>
      <scheme val="minor"/>
    </font>
    <font>
      <b/>
      <sz val="11"/>
      <color rgb="FFFFFFFF"/>
      <name val="Arial"/>
    </font>
    <font>
      <b/>
      <sz val="11"/>
      <color rgb="FFFFFFFF"/>
      <name val="Aptos"/>
    </font>
    <font>
      <sz val="11"/>
      <color rgb="FF000000"/>
      <name val="Arial"/>
    </font>
    <font>
      <b/>
      <sz val="11"/>
      <color rgb="FF000000"/>
      <name val="Arial"/>
    </font>
    <font>
      <sz val="11"/>
      <color theme="1"/>
      <name val="Arial"/>
    </font>
    <font>
      <b/>
      <sz val="11"/>
      <color rgb="FF274E13"/>
      <name val="Arial"/>
    </font>
    <font>
      <b/>
      <sz val="11"/>
      <color rgb="FF0C343D"/>
      <name val="Arial"/>
    </font>
    <font>
      <b/>
      <sz val="11"/>
      <color rgb="FFFF9900"/>
      <name val="Arial"/>
    </font>
    <font>
      <b/>
      <sz val="11"/>
      <color rgb="FF9900FF"/>
      <name val="Arial"/>
    </font>
    <font>
      <sz val="12"/>
      <color rgb="FF000000"/>
      <name val="Aptos"/>
    </font>
    <font>
      <b/>
      <sz val="26"/>
      <color rgb="FFD9D9D9"/>
      <name val="Arial"/>
    </font>
    <font>
      <b/>
      <sz val="14"/>
      <color theme="1"/>
      <name val="Arial"/>
      <scheme val="minor"/>
    </font>
    <font>
      <b/>
      <sz val="14"/>
      <color rgb="FFFFFFFF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rial"/>
      <scheme val="minor"/>
    </font>
    <font>
      <sz val="11"/>
      <color theme="1"/>
      <name val="Arial"/>
      <scheme val="minor"/>
    </font>
    <font>
      <u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b/>
      <i/>
      <sz val="11"/>
      <color rgb="FF274E13"/>
      <name val="Arial"/>
    </font>
  </fonts>
  <fills count="17">
    <fill>
      <patternFill patternType="none"/>
    </fill>
    <fill>
      <patternFill patternType="gray125"/>
    </fill>
    <fill>
      <patternFill patternType="solid">
        <fgColor rgb="FF0C343D"/>
        <bgColor rgb="FF0C343D"/>
      </patternFill>
    </fill>
    <fill>
      <patternFill patternType="solid">
        <fgColor rgb="FFCFE2F3"/>
        <bgColor rgb="FFCFE2F3"/>
      </patternFill>
    </fill>
    <fill>
      <patternFill patternType="solid">
        <fgColor rgb="FF274E13"/>
        <bgColor rgb="FF274E13"/>
      </patternFill>
    </fill>
    <fill>
      <patternFill patternType="solid">
        <fgColor rgb="FF073763"/>
        <bgColor rgb="FF073763"/>
      </patternFill>
    </fill>
    <fill>
      <patternFill patternType="solid">
        <fgColor rgb="FFE69138"/>
        <bgColor rgb="FFE69138"/>
      </patternFill>
    </fill>
    <fill>
      <patternFill patternType="solid">
        <fgColor rgb="FF9900FF"/>
        <bgColor rgb="FF9900FF"/>
      </patternFill>
    </fill>
    <fill>
      <patternFill patternType="solid">
        <fgColor rgb="FF1C4587"/>
        <bgColor rgb="FF1C4587"/>
      </patternFill>
    </fill>
    <fill>
      <patternFill patternType="solid">
        <fgColor rgb="FF0B5394"/>
        <bgColor rgb="FF0B5394"/>
      </patternFill>
    </fill>
    <fill>
      <patternFill patternType="solid">
        <fgColor rgb="FFEFEFEF"/>
        <bgColor rgb="FFEFEFEF"/>
      </patternFill>
    </fill>
    <fill>
      <patternFill patternType="solid">
        <fgColor rgb="FFD9D2E9"/>
        <bgColor rgb="FFD9D2E9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C9DAF8"/>
        <bgColor rgb="FFC9DAF8"/>
      </patternFill>
    </fill>
  </fills>
  <borders count="14">
    <border>
      <left/>
      <right/>
      <top/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horizontal="center"/>
    </xf>
    <xf numFmtId="0" fontId="4" fillId="3" borderId="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7" fillId="0" borderId="4" xfId="0" applyFont="1" applyBorder="1"/>
    <xf numFmtId="0" fontId="5" fillId="0" borderId="4" xfId="0" applyFont="1" applyBorder="1"/>
    <xf numFmtId="0" fontId="5" fillId="0" borderId="4" xfId="0" applyFont="1" applyBorder="1" applyAlignment="1">
      <alignment horizontal="center"/>
    </xf>
    <xf numFmtId="0" fontId="8" fillId="0" borderId="4" xfId="0" applyFont="1" applyBorder="1"/>
    <xf numFmtId="0" fontId="9" fillId="0" borderId="4" xfId="0" applyFont="1" applyBorder="1"/>
    <xf numFmtId="0" fontId="10" fillId="0" borderId="4" xfId="0" applyFont="1" applyBorder="1"/>
    <xf numFmtId="0" fontId="1" fillId="0" borderId="0" xfId="0" applyFont="1" applyAlignment="1">
      <alignment horizontal="center" vertical="center"/>
    </xf>
    <xf numFmtId="0" fontId="13" fillId="8" borderId="4" xfId="0" applyFont="1" applyFill="1" applyBorder="1" applyAlignment="1">
      <alignment horizontal="center" vertical="center"/>
    </xf>
    <xf numFmtId="0" fontId="13" fillId="9" borderId="4" xfId="0" applyFont="1" applyFill="1" applyBorder="1" applyAlignment="1">
      <alignment horizontal="center" vertical="center"/>
    </xf>
    <xf numFmtId="0" fontId="14" fillId="10" borderId="4" xfId="0" applyFont="1" applyFill="1" applyBorder="1" applyAlignment="1">
      <alignment vertical="center"/>
    </xf>
    <xf numFmtId="0" fontId="14" fillId="10" borderId="4" xfId="0" applyFont="1" applyFill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15" fillId="0" borderId="4" xfId="0" applyFont="1" applyBorder="1" applyAlignment="1">
      <alignment vertical="center" wrapText="1"/>
    </xf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vertical="center" wrapText="1"/>
    </xf>
    <xf numFmtId="0" fontId="18" fillId="0" borderId="4" xfId="0" applyFont="1" applyBorder="1" applyAlignment="1">
      <alignment vertical="center" wrapText="1"/>
    </xf>
    <xf numFmtId="0" fontId="14" fillId="11" borderId="4" xfId="0" applyFont="1" applyFill="1" applyBorder="1" applyAlignment="1">
      <alignment vertical="center"/>
    </xf>
    <xf numFmtId="0" fontId="14" fillId="11" borderId="4" xfId="0" applyFont="1" applyFill="1" applyBorder="1" applyAlignment="1">
      <alignment horizontal="center" vertical="center"/>
    </xf>
    <xf numFmtId="0" fontId="16" fillId="12" borderId="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vertical="center"/>
    </xf>
    <xf numFmtId="0" fontId="14" fillId="3" borderId="4" xfId="0" applyFont="1" applyFill="1" applyBorder="1" applyAlignment="1">
      <alignment horizontal="center" vertical="center"/>
    </xf>
    <xf numFmtId="0" fontId="19" fillId="0" borderId="4" xfId="0" applyFont="1" applyBorder="1" applyAlignment="1">
      <alignment vertical="center" wrapText="1"/>
    </xf>
    <xf numFmtId="0" fontId="14" fillId="13" borderId="4" xfId="0" applyFont="1" applyFill="1" applyBorder="1" applyAlignment="1">
      <alignment vertical="center"/>
    </xf>
    <xf numFmtId="0" fontId="14" fillId="13" borderId="4" xfId="0" applyFont="1" applyFill="1" applyBorder="1" applyAlignment="1">
      <alignment horizontal="center" vertical="center"/>
    </xf>
    <xf numFmtId="0" fontId="20" fillId="0" borderId="4" xfId="0" applyFont="1" applyBorder="1" applyAlignment="1">
      <alignment vertical="center" wrapText="1"/>
    </xf>
    <xf numFmtId="0" fontId="21" fillId="0" borderId="0" xfId="0" applyFont="1"/>
    <xf numFmtId="0" fontId="23" fillId="0" borderId="0" xfId="0" applyFont="1" applyAlignment="1">
      <alignment horizontal="center" vertical="center"/>
    </xf>
    <xf numFmtId="0" fontId="25" fillId="0" borderId="0" xfId="0" applyFont="1"/>
    <xf numFmtId="0" fontId="25" fillId="15" borderId="13" xfId="0" applyFont="1" applyFill="1" applyBorder="1" applyAlignment="1">
      <alignment horizontal="center" vertical="center"/>
    </xf>
    <xf numFmtId="0" fontId="25" fillId="15" borderId="7" xfId="0" applyFont="1" applyFill="1" applyBorder="1" applyAlignment="1">
      <alignment horizontal="center" vertical="center"/>
    </xf>
    <xf numFmtId="0" fontId="4" fillId="15" borderId="7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15" borderId="4" xfId="0" applyFont="1" applyFill="1" applyBorder="1" applyAlignment="1">
      <alignment horizontal="center" vertical="center"/>
    </xf>
    <xf numFmtId="0" fontId="26" fillId="16" borderId="4" xfId="0" applyFont="1" applyFill="1" applyBorder="1" applyAlignment="1">
      <alignment horizontal="center" vertical="center"/>
    </xf>
    <xf numFmtId="0" fontId="4" fillId="14" borderId="4" xfId="0" applyFont="1" applyFill="1" applyBorder="1" applyAlignment="1">
      <alignment vertical="center"/>
    </xf>
    <xf numFmtId="0" fontId="4" fillId="14" borderId="4" xfId="0" applyFont="1" applyFill="1" applyBorder="1" applyAlignment="1">
      <alignment vertical="center" wrapText="1"/>
    </xf>
    <xf numFmtId="0" fontId="27" fillId="14" borderId="4" xfId="0" applyFont="1" applyFill="1" applyBorder="1" applyAlignment="1">
      <alignment vertical="center" wrapText="1"/>
    </xf>
    <xf numFmtId="0" fontId="28" fillId="0" borderId="4" xfId="0" applyFont="1" applyBorder="1" applyAlignment="1">
      <alignment vertical="center"/>
    </xf>
    <xf numFmtId="0" fontId="29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9" fillId="0" borderId="4" xfId="0" applyFont="1" applyBorder="1"/>
    <xf numFmtId="164" fontId="27" fillId="0" borderId="0" xfId="0" applyNumberFormat="1" applyFont="1" applyAlignment="1">
      <alignment horizontal="center" vertical="center"/>
    </xf>
    <xf numFmtId="164" fontId="27" fillId="0" borderId="4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6" fillId="14" borderId="4" xfId="0" applyFont="1" applyFill="1" applyBorder="1" applyAlignment="1">
      <alignment vertical="center"/>
    </xf>
    <xf numFmtId="0" fontId="17" fillId="14" borderId="4" xfId="0" applyFont="1" applyFill="1" applyBorder="1" applyAlignment="1">
      <alignment vertical="center" wrapText="1"/>
    </xf>
    <xf numFmtId="0" fontId="18" fillId="14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/>
    </xf>
    <xf numFmtId="0" fontId="25" fillId="15" borderId="4" xfId="0" applyFont="1" applyFill="1" applyBorder="1" applyAlignment="1">
      <alignment horizontal="center" vertical="center"/>
    </xf>
    <xf numFmtId="0" fontId="4" fillId="15" borderId="4" xfId="0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6" fillId="0" borderId="7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25" fillId="16" borderId="5" xfId="0" applyFont="1" applyFill="1" applyBorder="1" applyAlignment="1">
      <alignment horizontal="center" vertical="center"/>
    </xf>
    <xf numFmtId="0" fontId="25" fillId="15" borderId="5" xfId="0" applyFont="1" applyFill="1" applyBorder="1" applyAlignment="1">
      <alignment horizontal="center" vertical="center"/>
    </xf>
    <xf numFmtId="0" fontId="22" fillId="8" borderId="8" xfId="0" applyFont="1" applyFill="1" applyBorder="1" applyAlignment="1">
      <alignment horizontal="center" vertical="center"/>
    </xf>
    <xf numFmtId="0" fontId="24" fillId="8" borderId="8" xfId="0" applyFont="1" applyFill="1" applyBorder="1" applyAlignment="1">
      <alignment horizontal="center" vertical="center"/>
    </xf>
    <xf numFmtId="0" fontId="25" fillId="15" borderId="5" xfId="0" applyFont="1" applyFill="1" applyBorder="1" applyAlignment="1">
      <alignment horizontal="center" vertical="center" wrapText="1"/>
    </xf>
    <xf numFmtId="0" fontId="3" fillId="0" borderId="2" xfId="0" applyFont="1" applyBorder="1" applyAlignment="1"/>
    <xf numFmtId="0" fontId="3" fillId="0" borderId="3" xfId="0" applyFont="1" applyBorder="1" applyAlignment="1"/>
    <xf numFmtId="0" fontId="3" fillId="0" borderId="6" xfId="0" applyFont="1" applyBorder="1" applyAlignment="1"/>
    <xf numFmtId="0" fontId="3" fillId="0" borderId="7" xfId="0" applyFont="1" applyBorder="1" applyAlignment="1"/>
    <xf numFmtId="0" fontId="3" fillId="0" borderId="9" xfId="0" applyFont="1" applyBorder="1" applyAlignment="1"/>
    <xf numFmtId="0" fontId="3" fillId="0" borderId="10" xfId="0" applyFont="1" applyBorder="1" applyAlignment="1"/>
    <xf numFmtId="0" fontId="3" fillId="0" borderId="11" xfId="0" applyFont="1" applyBorder="1" applyAlignment="1"/>
    <xf numFmtId="0" fontId="3" fillId="0" borderId="12" xfId="0" applyFont="1" applyBorder="1" applyAlignment="1"/>
    <xf numFmtId="0" fontId="3" fillId="0" borderId="13" xfId="0" applyFont="1" applyBorder="1" applyAlignment="1"/>
  </cellXfs>
  <cellStyles count="1">
    <cellStyle name="Normal" xfId="0" builtinId="0"/>
  </cellStyles>
  <dxfs count="36">
    <dxf>
      <fill>
        <patternFill patternType="solid">
          <fgColor rgb="FF6AA84F"/>
          <bgColor rgb="FF6AA84F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9CB9C"/>
          <bgColor rgb="FFF9CB9C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A568D"/>
          <bgColor rgb="FF4A568D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name="Roadmap por Squad-style" pivot="0" count="4" xr9:uid="{00000000-0011-0000-FFFF-FFFF00000000}">
      <tableStyleElement type="wholeTable" size="0" dxfId="35"/>
      <tableStyleElement type="headerRow" dxfId="34"/>
      <tableStyleElement type="firstRowStripe" dxfId="33"/>
      <tableStyleElement type="secondRowStripe" dxfId="32"/>
    </tableStyle>
    <tableStyle name="Roadmap por Squad-style 2" pivot="0" count="4" xr9:uid="{00000000-0011-0000-FFFF-FFFF01000000}">
      <tableStyleElement type="wholeTable" size="0" dxfId="31"/>
      <tableStyleElement type="headerRow" dxfId="30"/>
      <tableStyleElement type="firstRowStripe" dxfId="29"/>
      <tableStyleElement type="secondRowStripe" dxfId="28"/>
    </tableStyle>
    <tableStyle name="Roadmap por Squad-style 3" pivot="0" count="4" xr9:uid="{00000000-0011-0000-FFFF-FFFF02000000}">
      <tableStyleElement type="wholeTable" size="0" dxfId="27"/>
      <tableStyleElement type="headerRow" dxfId="26"/>
      <tableStyleElement type="firstRowStripe" dxfId="25"/>
      <tableStyleElement type="secondRowStripe" dxfId="24"/>
    </tableStyle>
    <tableStyle name="Roadmap por Squad-style 4" pivot="0" count="4" xr9:uid="{00000000-0011-0000-FFFF-FFFF03000000}">
      <tableStyleElement type="wholeTable" size="0" dxfId="23"/>
      <tableStyleElement type="headerRow" dxfId="22"/>
      <tableStyleElement type="firstRowStripe" dxfId="21"/>
      <tableStyleElement type="secondRowStripe" dxfId="20"/>
    </tableStyle>
    <tableStyle name="OLD_Roadmap por Squads-style" pivot="0" count="4" xr9:uid="{00000000-0011-0000-FFFF-FFFF04000000}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ANUAL - Roadmap por Squads-style" pivot="0" count="4" xr9:uid="{00000000-0011-0000-FFFF-FFFF05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Entregue x Esperado TMMi-style" pivot="0" count="4" xr9:uid="{00000000-0011-0000-FFFF-FFFF06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Critérios TMMi-style" pivot="0" count="4" xr9:uid="{00000000-0011-0000-FFFF-FFFF07000000}">
      <tableStyleElement type="wholeTable" size="0" dxfId="7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15" Type="http://customschemas.google.com/relationships/workbookmetadata" Target="metadata"/><Relationship Id="rId19" Type="http://schemas.openxmlformats.org/officeDocument/2006/relationships/calcChain" Target="calcChain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quad_Road_Map" displayName="Squad_Road_Map" ref="A1:J25">
  <tableColumns count="10">
    <tableColumn id="1" xr3:uid="{00000000-0010-0000-0500-000001000000}" name="ID Melhoria"/>
    <tableColumn id="2" xr3:uid="{00000000-0010-0000-0500-000002000000}" name="Trimestre"/>
    <tableColumn id="3" xr3:uid="{00000000-0010-0000-0500-000003000000}" name="Fase"/>
    <tableColumn id="4" xr3:uid="{00000000-0010-0000-0500-000004000000}" name="Squad"/>
    <tableColumn id="5" xr3:uid="{00000000-0010-0000-0500-000005000000}" name="Entrega"/>
    <tableColumn id="6" xr3:uid="{00000000-0010-0000-0500-000006000000}" name="TMMi (Nível – Área)"/>
    <tableColumn id="7" xr3:uid="{00000000-0010-0000-0500-000007000000}" name="Envolvidos"/>
    <tableColumn id="8" xr3:uid="{00000000-0010-0000-0500-000008000000}" name="Evidência / DOR (Definition of Ready)"/>
    <tableColumn id="9" xr3:uid="{00000000-0010-0000-0500-000009000000}" name="Status Geral"/>
    <tableColumn id="10" xr3:uid="{00000000-0010-0000-0500-00000A000000}" name="Responsável"/>
  </tableColumns>
  <tableStyleInfo name="ANUAL - Roadmap por Squad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docs.google.com/document/d/1eqAn17nuWQCDpt2l2pjWuMRgXjn_qDjMpGpfsrgdl3M/edit?tab=t.0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20"/>
  <sheetViews>
    <sheetView showGridLines="0" tabSelected="1" workbookViewId="0">
      <selection activeCell="D26" sqref="D26"/>
    </sheetView>
  </sheetViews>
  <sheetFormatPr defaultColWidth="12.5703125" defaultRowHeight="15" customHeight="1"/>
  <cols>
    <col min="1" max="1" width="2.7109375" customWidth="1"/>
    <col min="2" max="2" width="19.42578125" customWidth="1"/>
    <col min="3" max="3" width="35.28515625" bestFit="1" customWidth="1"/>
    <col min="4" max="4" width="21.140625" bestFit="1" customWidth="1"/>
    <col min="5" max="5" width="76" customWidth="1"/>
  </cols>
  <sheetData>
    <row r="1" spans="1:5" ht="15.75" customHeight="1">
      <c r="A1" s="1"/>
      <c r="B1" s="1"/>
      <c r="C1" s="1"/>
      <c r="D1" s="1"/>
      <c r="E1" s="1"/>
    </row>
    <row r="2" spans="1:5" ht="47.25" customHeight="1">
      <c r="A2" s="1"/>
      <c r="B2" s="62" t="s">
        <v>0</v>
      </c>
      <c r="C2" s="77"/>
      <c r="D2" s="77"/>
      <c r="E2" s="78"/>
    </row>
    <row r="3" spans="1:5" ht="33" customHeight="1">
      <c r="A3" s="1"/>
      <c r="B3" s="2" t="s">
        <v>1</v>
      </c>
      <c r="C3" s="2" t="s">
        <v>2</v>
      </c>
      <c r="D3" s="2" t="s">
        <v>3</v>
      </c>
      <c r="E3" s="2" t="s">
        <v>4</v>
      </c>
    </row>
    <row r="4" spans="1:5" ht="15.75" customHeight="1">
      <c r="A4" s="3"/>
      <c r="B4" s="63" t="s">
        <v>5</v>
      </c>
      <c r="C4" s="4" t="s">
        <v>6</v>
      </c>
      <c r="D4" s="6" t="s">
        <v>7</v>
      </c>
      <c r="E4" s="5" t="s">
        <v>8</v>
      </c>
    </row>
    <row r="5" spans="1:5" ht="15.75" customHeight="1">
      <c r="A5" s="3"/>
      <c r="B5" s="79"/>
      <c r="C5" s="4" t="s">
        <v>9</v>
      </c>
      <c r="D5" s="6" t="s">
        <v>10</v>
      </c>
      <c r="E5" s="5" t="s">
        <v>11</v>
      </c>
    </row>
    <row r="6" spans="1:5" ht="15.75" customHeight="1">
      <c r="A6" s="3"/>
      <c r="B6" s="79"/>
      <c r="C6" s="4" t="s">
        <v>12</v>
      </c>
      <c r="D6" s="6" t="s">
        <v>10</v>
      </c>
      <c r="E6" s="5" t="s">
        <v>13</v>
      </c>
    </row>
    <row r="7" spans="1:5" ht="15.75" customHeight="1">
      <c r="A7" s="3"/>
      <c r="B7" s="79"/>
      <c r="C7" s="4" t="s">
        <v>14</v>
      </c>
      <c r="D7" s="6" t="s">
        <v>10</v>
      </c>
      <c r="E7" s="5" t="s">
        <v>15</v>
      </c>
    </row>
    <row r="8" spans="1:5" ht="15.75" customHeight="1">
      <c r="A8" s="3"/>
      <c r="B8" s="79"/>
      <c r="C8" s="4" t="s">
        <v>16</v>
      </c>
      <c r="D8" s="6" t="s">
        <v>10</v>
      </c>
      <c r="E8" s="5" t="s">
        <v>17</v>
      </c>
    </row>
    <row r="9" spans="1:5" ht="15.75" customHeight="1">
      <c r="A9" s="3"/>
      <c r="B9" s="80"/>
      <c r="C9" s="4" t="s">
        <v>18</v>
      </c>
      <c r="D9" s="6" t="s">
        <v>10</v>
      </c>
      <c r="E9" s="5" t="s">
        <v>19</v>
      </c>
    </row>
    <row r="10" spans="1:5" ht="15.75" customHeight="1">
      <c r="A10" s="3"/>
      <c r="B10" s="64" t="s">
        <v>20</v>
      </c>
      <c r="C10" s="7" t="s">
        <v>21</v>
      </c>
      <c r="D10" s="6" t="s">
        <v>22</v>
      </c>
      <c r="E10" s="5" t="s">
        <v>23</v>
      </c>
    </row>
    <row r="11" spans="1:5" ht="15.75" customHeight="1">
      <c r="A11" s="3"/>
      <c r="B11" s="79"/>
      <c r="C11" s="7" t="s">
        <v>24</v>
      </c>
      <c r="D11" s="6" t="s">
        <v>22</v>
      </c>
      <c r="E11" s="5" t="s">
        <v>25</v>
      </c>
    </row>
    <row r="12" spans="1:5" ht="15.75" customHeight="1">
      <c r="A12" s="3"/>
      <c r="B12" s="79"/>
      <c r="C12" s="7" t="s">
        <v>26</v>
      </c>
      <c r="D12" s="6" t="s">
        <v>22</v>
      </c>
      <c r="E12" s="5" t="s">
        <v>27</v>
      </c>
    </row>
    <row r="13" spans="1:5" ht="15.75" customHeight="1">
      <c r="A13" s="3"/>
      <c r="B13" s="79"/>
      <c r="C13" s="7" t="s">
        <v>28</v>
      </c>
      <c r="D13" s="6" t="s">
        <v>7</v>
      </c>
      <c r="E13" s="5" t="s">
        <v>29</v>
      </c>
    </row>
    <row r="14" spans="1:5" ht="15.75" customHeight="1">
      <c r="A14" s="3"/>
      <c r="B14" s="80"/>
      <c r="C14" s="7" t="s">
        <v>30</v>
      </c>
      <c r="D14" s="6" t="s">
        <v>10</v>
      </c>
      <c r="E14" s="5" t="s">
        <v>31</v>
      </c>
    </row>
    <row r="15" spans="1:5" ht="15.75" customHeight="1">
      <c r="B15" s="65" t="s">
        <v>32</v>
      </c>
      <c r="C15" s="8" t="s">
        <v>33</v>
      </c>
      <c r="D15" s="6" t="s">
        <v>22</v>
      </c>
      <c r="E15" s="5" t="s">
        <v>34</v>
      </c>
    </row>
    <row r="16" spans="1:5" ht="15.75" customHeight="1">
      <c r="B16" s="79"/>
      <c r="C16" s="8" t="s">
        <v>35</v>
      </c>
      <c r="D16" s="6" t="s">
        <v>22</v>
      </c>
      <c r="E16" s="5" t="s">
        <v>36</v>
      </c>
    </row>
    <row r="17" spans="2:5" ht="15.75" customHeight="1">
      <c r="B17" s="80"/>
      <c r="C17" s="8" t="s">
        <v>37</v>
      </c>
      <c r="D17" s="6" t="s">
        <v>38</v>
      </c>
      <c r="E17" s="5" t="s">
        <v>36</v>
      </c>
    </row>
    <row r="18" spans="2:5" ht="15.75" customHeight="1">
      <c r="B18" s="66" t="s">
        <v>39</v>
      </c>
      <c r="C18" s="9" t="s">
        <v>40</v>
      </c>
      <c r="D18" s="6" t="s">
        <v>38</v>
      </c>
      <c r="E18" s="5" t="s">
        <v>41</v>
      </c>
    </row>
    <row r="19" spans="2:5" ht="15.75" customHeight="1">
      <c r="B19" s="79"/>
      <c r="C19" s="9" t="s">
        <v>42</v>
      </c>
      <c r="D19" s="6" t="s">
        <v>38</v>
      </c>
      <c r="E19" s="5" t="s">
        <v>43</v>
      </c>
    </row>
    <row r="20" spans="2:5" ht="15.75" customHeight="1">
      <c r="B20" s="80"/>
      <c r="C20" s="9" t="s">
        <v>44</v>
      </c>
      <c r="D20" s="6" t="s">
        <v>38</v>
      </c>
      <c r="E20" s="5"/>
    </row>
  </sheetData>
  <mergeCells count="5">
    <mergeCell ref="B2:E2"/>
    <mergeCell ref="B4:B9"/>
    <mergeCell ref="B10:B14"/>
    <mergeCell ref="B15:B17"/>
    <mergeCell ref="B18:B20"/>
  </mergeCells>
  <dataValidations count="1">
    <dataValidation type="list" allowBlank="1" showErrorMessage="1" sqref="D4:D20" xr:uid="{00000000-0002-0000-0000-000000000000}">
      <formula1>"Desenvolvendo,Adotado,Em Adoção,Planejado,Não Iniciado"</formula1>
    </dataValidation>
  </dataValidations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M918"/>
  <sheetViews>
    <sheetView showGridLines="0" workbookViewId="0">
      <selection activeCell="O8" sqref="O8"/>
    </sheetView>
  </sheetViews>
  <sheetFormatPr defaultColWidth="12.5703125" defaultRowHeight="15" customHeight="1"/>
  <cols>
    <col min="1" max="1" width="2.140625" customWidth="1"/>
    <col min="2" max="2" width="13.7109375" bestFit="1" customWidth="1"/>
    <col min="3" max="3" width="12.5703125" customWidth="1"/>
    <col min="4" max="4" width="23.42578125" customWidth="1"/>
    <col min="5" max="5" width="40.140625" customWidth="1"/>
    <col min="6" max="6" width="40.85546875" customWidth="1"/>
    <col min="7" max="13" width="20.7109375" bestFit="1" customWidth="1"/>
  </cols>
  <sheetData>
    <row r="1" spans="2:13" ht="15.75" customHeight="1">
      <c r="B1" s="10"/>
      <c r="C1" s="10"/>
      <c r="D1" s="10"/>
      <c r="E1" s="10"/>
      <c r="F1" s="1"/>
      <c r="G1" s="1"/>
      <c r="H1" s="1"/>
      <c r="I1" s="1"/>
      <c r="J1" s="1"/>
      <c r="K1" s="1"/>
      <c r="L1" s="1"/>
      <c r="M1" s="3"/>
    </row>
    <row r="2" spans="2:13" ht="42.75" customHeight="1">
      <c r="B2" s="69" t="s">
        <v>45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8"/>
    </row>
    <row r="3" spans="2:13" ht="22.5" customHeight="1">
      <c r="B3" s="67" t="s">
        <v>46</v>
      </c>
      <c r="C3" s="68" t="s">
        <v>47</v>
      </c>
      <c r="D3" s="70" t="s">
        <v>48</v>
      </c>
      <c r="E3" s="68" t="s">
        <v>49</v>
      </c>
      <c r="F3" s="70" t="s">
        <v>50</v>
      </c>
      <c r="G3" s="71" t="s">
        <v>51</v>
      </c>
      <c r="H3" s="77"/>
      <c r="I3" s="77"/>
      <c r="J3" s="78"/>
      <c r="K3" s="71" t="s">
        <v>52</v>
      </c>
      <c r="L3" s="77"/>
      <c r="M3" s="78"/>
    </row>
    <row r="4" spans="2:13" ht="42" customHeight="1">
      <c r="B4" s="80"/>
      <c r="C4" s="80"/>
      <c r="D4" s="80"/>
      <c r="E4" s="80"/>
      <c r="F4" s="80"/>
      <c r="G4" s="11" t="s">
        <v>53</v>
      </c>
      <c r="H4" s="12" t="s">
        <v>54</v>
      </c>
      <c r="I4" s="11" t="s">
        <v>55</v>
      </c>
      <c r="J4" s="12" t="s">
        <v>56</v>
      </c>
      <c r="K4" s="11" t="s">
        <v>57</v>
      </c>
      <c r="L4" s="12" t="s">
        <v>58</v>
      </c>
      <c r="M4" s="11" t="s">
        <v>59</v>
      </c>
    </row>
    <row r="5" spans="2:13" ht="28.5">
      <c r="B5" s="13" t="s">
        <v>60</v>
      </c>
      <c r="C5" s="14" t="s">
        <v>61</v>
      </c>
      <c r="D5" s="15" t="s">
        <v>62</v>
      </c>
      <c r="E5" s="16" t="s">
        <v>63</v>
      </c>
      <c r="F5" s="15" t="s">
        <v>64</v>
      </c>
      <c r="G5" s="17" t="str">
        <f>'Score TMMi'!H8</f>
        <v>PLANEJADO</v>
      </c>
      <c r="H5" s="17" t="str">
        <f>'Score TMMi'!H21</f>
        <v>PLANEJADO</v>
      </c>
      <c r="I5" s="17" t="str">
        <f>'Score TMMi'!H34</f>
        <v>PLANEJADO</v>
      </c>
      <c r="J5" s="17" t="str">
        <f>'Score TMMi'!H47</f>
        <v>PLANEJADO</v>
      </c>
      <c r="K5" s="17" t="str">
        <f>'Score TMMi'!H60</f>
        <v>PLANEJADO</v>
      </c>
      <c r="L5" s="17" t="str">
        <f>'Score TMMi'!H73</f>
        <v>PLANEJADO</v>
      </c>
      <c r="M5" s="17" t="str">
        <f>'Score TMMi'!H86</f>
        <v>PLANEJADO</v>
      </c>
    </row>
    <row r="6" spans="2:13" ht="14.25">
      <c r="B6" s="13" t="s">
        <v>65</v>
      </c>
      <c r="C6" s="14" t="s">
        <v>61</v>
      </c>
      <c r="D6" s="15" t="s">
        <v>62</v>
      </c>
      <c r="E6" s="18" t="s">
        <v>66</v>
      </c>
      <c r="F6" s="15" t="s">
        <v>67</v>
      </c>
      <c r="G6" s="17" t="str">
        <f>'Score TMMi'!H4</f>
        <v>DESENVOLVENDO</v>
      </c>
      <c r="H6" s="17" t="str">
        <f>'Score TMMi'!H4</f>
        <v>DESENVOLVENDO</v>
      </c>
      <c r="I6" s="17" t="str">
        <f>'Score TMMi'!H4</f>
        <v>DESENVOLVENDO</v>
      </c>
      <c r="J6" s="17" t="str">
        <f>'Score TMMi'!H4</f>
        <v>DESENVOLVENDO</v>
      </c>
      <c r="K6" s="17" t="str">
        <f>'Score TMMi'!H4</f>
        <v>DESENVOLVENDO</v>
      </c>
      <c r="L6" s="17" t="str">
        <f>'Score TMMi'!H4</f>
        <v>DESENVOLVENDO</v>
      </c>
      <c r="M6" s="17" t="str">
        <f>'Score TMMi'!H4</f>
        <v>DESENVOLVENDO</v>
      </c>
    </row>
    <row r="7" spans="2:13" ht="28.5">
      <c r="B7" s="13" t="s">
        <v>68</v>
      </c>
      <c r="C7" s="14" t="s">
        <v>61</v>
      </c>
      <c r="D7" s="15" t="s">
        <v>62</v>
      </c>
      <c r="E7" s="16" t="s">
        <v>69</v>
      </c>
      <c r="F7" s="15" t="s">
        <v>67</v>
      </c>
      <c r="G7" s="17" t="str">
        <f>'Score TMMi'!H5</f>
        <v>DESENVOLVENDO</v>
      </c>
      <c r="H7" s="17" t="str">
        <f>'Score TMMi'!H5</f>
        <v>DESENVOLVENDO</v>
      </c>
      <c r="I7" s="17" t="str">
        <f>'Score TMMi'!H5</f>
        <v>DESENVOLVENDO</v>
      </c>
      <c r="J7" s="17" t="str">
        <f>'Score TMMi'!H5</f>
        <v>DESENVOLVENDO</v>
      </c>
      <c r="K7" s="17" t="str">
        <f>'Score TMMi'!H5</f>
        <v>DESENVOLVENDO</v>
      </c>
      <c r="L7" s="17" t="str">
        <f>'Score TMMi'!H5</f>
        <v>DESENVOLVENDO</v>
      </c>
      <c r="M7" s="17" t="str">
        <f>'Score TMMi'!H5</f>
        <v>DESENVOLVENDO</v>
      </c>
    </row>
    <row r="8" spans="2:13" ht="28.5">
      <c r="B8" s="13" t="s">
        <v>70</v>
      </c>
      <c r="C8" s="14" t="s">
        <v>61</v>
      </c>
      <c r="D8" s="15" t="s">
        <v>62</v>
      </c>
      <c r="E8" s="18" t="s">
        <v>71</v>
      </c>
      <c r="F8" s="15" t="s">
        <v>72</v>
      </c>
      <c r="G8" s="17" t="str">
        <f>'Score TMMi'!H10</f>
        <v>PLANEJADO</v>
      </c>
      <c r="H8" s="17" t="str">
        <f>'Score TMMi'!H22</f>
        <v>PLANEJADO</v>
      </c>
      <c r="I8" s="17" t="str">
        <f>'Score TMMi'!H35</f>
        <v>PLANEJADO</v>
      </c>
      <c r="J8" s="17" t="str">
        <f>'Score TMMi'!H48</f>
        <v>PLANEJADO</v>
      </c>
      <c r="K8" s="17" t="str">
        <f>'Score TMMi'!H61</f>
        <v>ADOTADO</v>
      </c>
      <c r="L8" s="17" t="str">
        <f>'Score TMMi'!H74</f>
        <v>PLANEJADO</v>
      </c>
      <c r="M8" s="17" t="str">
        <f>'Score TMMi'!H87</f>
        <v>ADOTADO</v>
      </c>
    </row>
    <row r="9" spans="2:13" ht="28.5">
      <c r="B9" s="13" t="s">
        <v>73</v>
      </c>
      <c r="C9" s="14" t="s">
        <v>61</v>
      </c>
      <c r="D9" s="15" t="s">
        <v>62</v>
      </c>
      <c r="E9" s="18" t="s">
        <v>74</v>
      </c>
      <c r="F9" s="15" t="s">
        <v>72</v>
      </c>
      <c r="G9" s="17" t="str">
        <f>'Score TMMi'!H10</f>
        <v>PLANEJADO</v>
      </c>
      <c r="H9" s="17" t="str">
        <f>'Score TMMi'!H23</f>
        <v>PLANEJADO</v>
      </c>
      <c r="I9" s="17" t="str">
        <f>'Score TMMi'!H36</f>
        <v>PLANEJADO</v>
      </c>
      <c r="J9" s="17" t="str">
        <f>'Score TMMi'!H49</f>
        <v>PLANEJADO</v>
      </c>
      <c r="K9" s="17" t="str">
        <f>'Score TMMi'!H62</f>
        <v>ADOTADO</v>
      </c>
      <c r="L9" s="17" t="str">
        <f>'Score TMMi'!H75</f>
        <v>PLANEJADO</v>
      </c>
      <c r="M9" s="17" t="str">
        <f>'Score TMMi'!H88</f>
        <v>ADOTADO</v>
      </c>
    </row>
    <row r="10" spans="2:13" ht="28.5">
      <c r="B10" s="13" t="s">
        <v>75</v>
      </c>
      <c r="C10" s="14" t="s">
        <v>61</v>
      </c>
      <c r="D10" s="15" t="s">
        <v>62</v>
      </c>
      <c r="E10" s="16" t="s">
        <v>76</v>
      </c>
      <c r="F10" s="15" t="s">
        <v>77</v>
      </c>
      <c r="G10" s="17" t="str">
        <f>'Score TMMi'!H12</f>
        <v>PLANEJADO</v>
      </c>
      <c r="H10" s="17" t="str">
        <f>'Score TMMi'!H25</f>
        <v>PLANEJADO</v>
      </c>
      <c r="I10" s="17" t="str">
        <f>'Score TMMi'!H38</f>
        <v>PLANEJADO</v>
      </c>
      <c r="J10" s="17" t="str">
        <f>'Score TMMi'!H51</f>
        <v>ADOTADO</v>
      </c>
      <c r="K10" s="17" t="str">
        <f>'Score TMMi'!H64</f>
        <v>ADOTADO</v>
      </c>
      <c r="L10" s="17" t="str">
        <f>'Score TMMi'!H77</f>
        <v>PLANEJADO</v>
      </c>
      <c r="M10" s="17" t="str">
        <f>'Score TMMi'!H90</f>
        <v>ADOTADO</v>
      </c>
    </row>
    <row r="11" spans="2:13" ht="14.25">
      <c r="B11" s="13" t="s">
        <v>78</v>
      </c>
      <c r="C11" s="14" t="s">
        <v>61</v>
      </c>
      <c r="D11" s="15" t="s">
        <v>62</v>
      </c>
      <c r="E11" s="18" t="s">
        <v>79</v>
      </c>
      <c r="F11" s="15" t="s">
        <v>80</v>
      </c>
      <c r="G11" s="17" t="str">
        <f>'Score TMMi'!H11</f>
        <v>PLANEJADO</v>
      </c>
      <c r="H11" s="17" t="str">
        <f>'Score TMMi'!H24</f>
        <v>PLANEJADO</v>
      </c>
      <c r="I11" s="17" t="str">
        <f>'Score TMMi'!H37</f>
        <v>PLANEJADO</v>
      </c>
      <c r="J11" s="17" t="str">
        <f>'Score TMMi'!H50</f>
        <v>ADOTADO</v>
      </c>
      <c r="K11" s="17" t="str">
        <f>'Score TMMi'!H63</f>
        <v>ADOTADO</v>
      </c>
      <c r="L11" s="17" t="str">
        <f>'Score TMMi'!H76</f>
        <v>PLANEJADO</v>
      </c>
      <c r="M11" s="17" t="str">
        <f>'Score TMMi'!H89</f>
        <v>ADOTADO</v>
      </c>
    </row>
    <row r="12" spans="2:13" ht="14.25">
      <c r="B12" s="13" t="s">
        <v>81</v>
      </c>
      <c r="C12" s="14" t="s">
        <v>61</v>
      </c>
      <c r="D12" s="15" t="s">
        <v>62</v>
      </c>
      <c r="E12" s="18" t="s">
        <v>79</v>
      </c>
      <c r="F12" s="15" t="s">
        <v>80</v>
      </c>
      <c r="G12" s="17" t="str">
        <f>'Score TMMi'!H13</f>
        <v>PLANEJADO</v>
      </c>
      <c r="H12" s="17" t="str">
        <f>'Score TMMi'!H26</f>
        <v>PLANEJADO</v>
      </c>
      <c r="I12" s="17" t="str">
        <f>'Score TMMi'!H39</f>
        <v>PLANEJADO</v>
      </c>
      <c r="J12" s="17" t="str">
        <f>'Score TMMi'!H52</f>
        <v>ADOTADO</v>
      </c>
      <c r="K12" s="17" t="str">
        <f>'Score TMMi'!H65</f>
        <v>ADOTADO</v>
      </c>
      <c r="L12" s="17" t="str">
        <f>'Score TMMi'!H78</f>
        <v>PLANEJADO</v>
      </c>
      <c r="M12" s="17" t="str">
        <f>'Score TMMi'!H91</f>
        <v>ADOTADO</v>
      </c>
    </row>
    <row r="13" spans="2:13" ht="28.5">
      <c r="B13" s="13" t="s">
        <v>82</v>
      </c>
      <c r="C13" s="14" t="s">
        <v>61</v>
      </c>
      <c r="D13" s="15" t="s">
        <v>62</v>
      </c>
      <c r="E13" s="18" t="s">
        <v>83</v>
      </c>
      <c r="F13" s="15" t="s">
        <v>84</v>
      </c>
      <c r="G13" s="17" t="str">
        <f>'Score TMMi'!H14</f>
        <v>PLANEJADO</v>
      </c>
      <c r="H13" s="17" t="str">
        <f>'Score TMMi'!H27</f>
        <v>PLANEJADO</v>
      </c>
      <c r="I13" s="17" t="str">
        <f>'Score TMMi'!H40</f>
        <v>PLANEJADO</v>
      </c>
      <c r="J13" s="17" t="str">
        <f>'Score TMMi'!H53</f>
        <v>ADOTADO</v>
      </c>
      <c r="K13" s="17" t="str">
        <f>'Score TMMi'!H66</f>
        <v>ADOTADO</v>
      </c>
      <c r="L13" s="17" t="str">
        <f>'Score TMMi'!H79</f>
        <v>PLANEJADO</v>
      </c>
      <c r="M13" s="17" t="str">
        <f>'Score TMMi'!H92</f>
        <v>ADOTADO</v>
      </c>
    </row>
    <row r="14" spans="2:13" ht="14.25">
      <c r="B14" s="13" t="s">
        <v>85</v>
      </c>
      <c r="C14" s="14" t="s">
        <v>61</v>
      </c>
      <c r="D14" s="15" t="s">
        <v>62</v>
      </c>
      <c r="E14" s="19" t="s">
        <v>86</v>
      </c>
      <c r="F14" s="15" t="s">
        <v>87</v>
      </c>
      <c r="G14" s="17" t="str">
        <f>'Score TMMi'!H15</f>
        <v>EM ADOÇÃO</v>
      </c>
      <c r="H14" s="17" t="str">
        <f>'Score TMMi'!H28</f>
        <v>EM ADOÇÃO</v>
      </c>
      <c r="I14" s="17" t="str">
        <f>'Score TMMi'!H41</f>
        <v>PLANEJADO</v>
      </c>
      <c r="J14" s="17" t="str">
        <f>'Score TMMi'!H54</f>
        <v>PLANEJADO</v>
      </c>
      <c r="K14" s="17" t="str">
        <f>'Score TMMi'!H67</f>
        <v>PLANEJADO</v>
      </c>
      <c r="L14" s="17" t="str">
        <f>'Score TMMi'!H80</f>
        <v>PLANEJADO</v>
      </c>
      <c r="M14" s="17" t="str">
        <f>'Score TMMi'!H93</f>
        <v>ADOTADO</v>
      </c>
    </row>
    <row r="15" spans="2:13" ht="28.5">
      <c r="B15" s="13" t="s">
        <v>88</v>
      </c>
      <c r="C15" s="14" t="s">
        <v>61</v>
      </c>
      <c r="D15" s="15" t="s">
        <v>62</v>
      </c>
      <c r="E15" s="16" t="s">
        <v>89</v>
      </c>
      <c r="F15" s="15" t="s">
        <v>80</v>
      </c>
      <c r="G15" s="17" t="str">
        <f>'Score TMMi'!H16</f>
        <v>PLANEJADO</v>
      </c>
      <c r="H15" s="17" t="str">
        <f>'Score TMMi'!H29</f>
        <v>PLANEJADO</v>
      </c>
      <c r="I15" s="17" t="str">
        <f>'Score TMMi'!H42</f>
        <v>PLANEJADO</v>
      </c>
      <c r="J15" s="17" t="str">
        <f>'Score TMMi'!H55</f>
        <v>ADOTADO</v>
      </c>
      <c r="K15" s="17" t="str">
        <f>'Score TMMi'!H68</f>
        <v>ADOTADO</v>
      </c>
      <c r="L15" s="17" t="str">
        <f>'Score TMMi'!H81</f>
        <v>PLANEJADO</v>
      </c>
      <c r="M15" s="17" t="str">
        <f>'Score TMMi'!H94</f>
        <v>PLANEJADO</v>
      </c>
    </row>
    <row r="16" spans="2:13" ht="14.25">
      <c r="B16" s="13" t="s">
        <v>90</v>
      </c>
      <c r="C16" s="14" t="s">
        <v>61</v>
      </c>
      <c r="D16" s="15" t="s">
        <v>62</v>
      </c>
      <c r="E16" s="19" t="s">
        <v>91</v>
      </c>
      <c r="F16" s="15" t="s">
        <v>92</v>
      </c>
      <c r="G16" s="17" t="str">
        <f>'Score TMMi'!H17</f>
        <v>PLANEJADO</v>
      </c>
      <c r="H16" s="17" t="str">
        <f>'Score TMMi'!H30</f>
        <v>PLANEJADO</v>
      </c>
      <c r="I16" s="17" t="str">
        <f>'Score TMMi'!H43</f>
        <v>EM ADOÇÃO</v>
      </c>
      <c r="J16" s="17" t="str">
        <f>'Score TMMi'!H56</f>
        <v>PLANEJADO</v>
      </c>
      <c r="K16" s="17" t="str">
        <f>'Score TMMi'!H69</f>
        <v>PLANEJADO</v>
      </c>
      <c r="L16" s="17" t="str">
        <f>'Score TMMi'!H82</f>
        <v>PLANEJADO</v>
      </c>
      <c r="M16" s="17" t="str">
        <f>'Score TMMi'!H95</f>
        <v>EM ADOÇÃO</v>
      </c>
    </row>
    <row r="17" spans="2:13" ht="28.5">
      <c r="B17" s="13" t="s">
        <v>93</v>
      </c>
      <c r="C17" s="14" t="s">
        <v>61</v>
      </c>
      <c r="D17" s="15" t="s">
        <v>62</v>
      </c>
      <c r="E17" s="19" t="s">
        <v>94</v>
      </c>
      <c r="F17" s="15" t="s">
        <v>95</v>
      </c>
      <c r="G17" s="17" t="str">
        <f>'Score TMMi'!H18</f>
        <v>PLANEJADO</v>
      </c>
      <c r="H17" s="17" t="str">
        <f>'Score TMMi'!H31</f>
        <v>PLANEJADO</v>
      </c>
      <c r="I17" s="17" t="str">
        <f>'Score TMMi'!H44</f>
        <v>PLANEJADO</v>
      </c>
      <c r="J17" s="17" t="str">
        <f>'Score TMMi'!H57</f>
        <v>PLANEJADO</v>
      </c>
      <c r="K17" s="17" t="str">
        <f>'Score TMMi'!H70</f>
        <v>PLANEJADO</v>
      </c>
      <c r="L17" s="17" t="str">
        <f>'Score TMMi'!H83</f>
        <v>PLANEJADO</v>
      </c>
      <c r="M17" s="17" t="str">
        <f>'Score TMMi'!H96</f>
        <v>PLANEJADO</v>
      </c>
    </row>
    <row r="18" spans="2:13" ht="28.5">
      <c r="B18" s="20" t="s">
        <v>96</v>
      </c>
      <c r="C18" s="21" t="s">
        <v>97</v>
      </c>
      <c r="D18" s="15" t="s">
        <v>62</v>
      </c>
      <c r="E18" s="16" t="s">
        <v>98</v>
      </c>
      <c r="F18" s="15" t="s">
        <v>99</v>
      </c>
      <c r="G18" s="22" t="s">
        <v>100</v>
      </c>
      <c r="H18" s="22" t="s">
        <v>100</v>
      </c>
      <c r="I18" s="22" t="s">
        <v>100</v>
      </c>
      <c r="J18" s="22" t="s">
        <v>100</v>
      </c>
      <c r="K18" s="22" t="s">
        <v>100</v>
      </c>
      <c r="L18" s="22" t="s">
        <v>100</v>
      </c>
      <c r="M18" s="22" t="s">
        <v>100</v>
      </c>
    </row>
    <row r="19" spans="2:13" ht="28.5">
      <c r="B19" s="20" t="s">
        <v>101</v>
      </c>
      <c r="C19" s="21" t="s">
        <v>97</v>
      </c>
      <c r="D19" s="15" t="s">
        <v>62</v>
      </c>
      <c r="E19" s="16" t="s">
        <v>102</v>
      </c>
      <c r="F19" s="15" t="s">
        <v>77</v>
      </c>
      <c r="G19" s="22" t="s">
        <v>100</v>
      </c>
      <c r="H19" s="22" t="s">
        <v>100</v>
      </c>
      <c r="I19" s="22" t="s">
        <v>100</v>
      </c>
      <c r="J19" s="22" t="s">
        <v>100</v>
      </c>
      <c r="K19" s="22" t="s">
        <v>100</v>
      </c>
      <c r="L19" s="22" t="s">
        <v>100</v>
      </c>
      <c r="M19" s="22" t="s">
        <v>100</v>
      </c>
    </row>
    <row r="20" spans="2:13" ht="14.25">
      <c r="B20" s="20" t="s">
        <v>103</v>
      </c>
      <c r="C20" s="21" t="s">
        <v>97</v>
      </c>
      <c r="D20" s="15" t="s">
        <v>62</v>
      </c>
      <c r="E20" s="19" t="s">
        <v>91</v>
      </c>
      <c r="F20" s="15" t="s">
        <v>104</v>
      </c>
      <c r="G20" s="22" t="s">
        <v>100</v>
      </c>
      <c r="H20" s="22" t="s">
        <v>100</v>
      </c>
      <c r="I20" s="22" t="s">
        <v>100</v>
      </c>
      <c r="J20" s="22" t="s">
        <v>100</v>
      </c>
      <c r="K20" s="22" t="s">
        <v>100</v>
      </c>
      <c r="L20" s="22" t="s">
        <v>100</v>
      </c>
      <c r="M20" s="22" t="s">
        <v>100</v>
      </c>
    </row>
    <row r="21" spans="2:13" ht="28.5">
      <c r="B21" s="20" t="s">
        <v>105</v>
      </c>
      <c r="C21" s="21" t="s">
        <v>97</v>
      </c>
      <c r="D21" s="15" t="s">
        <v>62</v>
      </c>
      <c r="E21" s="19" t="s">
        <v>106</v>
      </c>
      <c r="F21" s="15" t="s">
        <v>107</v>
      </c>
      <c r="G21" s="22" t="s">
        <v>100</v>
      </c>
      <c r="H21" s="22" t="s">
        <v>100</v>
      </c>
      <c r="I21" s="22" t="s">
        <v>100</v>
      </c>
      <c r="J21" s="22" t="s">
        <v>100</v>
      </c>
      <c r="K21" s="22" t="s">
        <v>100</v>
      </c>
      <c r="L21" s="22" t="s">
        <v>100</v>
      </c>
      <c r="M21" s="22" t="s">
        <v>100</v>
      </c>
    </row>
    <row r="22" spans="2:13" ht="43.5">
      <c r="B22" s="23" t="s">
        <v>108</v>
      </c>
      <c r="C22" s="24" t="s">
        <v>109</v>
      </c>
      <c r="D22" s="15" t="s">
        <v>62</v>
      </c>
      <c r="E22" s="25" t="s">
        <v>110</v>
      </c>
      <c r="F22" s="15" t="s">
        <v>67</v>
      </c>
      <c r="G22" s="22" t="s">
        <v>100</v>
      </c>
      <c r="H22" s="22" t="s">
        <v>100</v>
      </c>
      <c r="I22" s="22" t="s">
        <v>100</v>
      </c>
      <c r="J22" s="22" t="s">
        <v>100</v>
      </c>
      <c r="K22" s="22" t="s">
        <v>100</v>
      </c>
      <c r="L22" s="22" t="s">
        <v>100</v>
      </c>
      <c r="M22" s="22" t="s">
        <v>100</v>
      </c>
    </row>
    <row r="23" spans="2:13" ht="28.5">
      <c r="B23" s="23" t="s">
        <v>111</v>
      </c>
      <c r="C23" s="24" t="s">
        <v>109</v>
      </c>
      <c r="D23" s="15" t="s">
        <v>62</v>
      </c>
      <c r="E23" s="16" t="s">
        <v>112</v>
      </c>
      <c r="F23" s="15" t="s">
        <v>99</v>
      </c>
      <c r="G23" s="22" t="s">
        <v>100</v>
      </c>
      <c r="H23" s="22" t="s">
        <v>100</v>
      </c>
      <c r="I23" s="22" t="s">
        <v>100</v>
      </c>
      <c r="J23" s="22" t="s">
        <v>100</v>
      </c>
      <c r="K23" s="22" t="s">
        <v>100</v>
      </c>
      <c r="L23" s="22" t="s">
        <v>100</v>
      </c>
      <c r="M23" s="22" t="s">
        <v>100</v>
      </c>
    </row>
    <row r="24" spans="2:13" ht="14.25">
      <c r="B24" s="23" t="s">
        <v>113</v>
      </c>
      <c r="C24" s="24" t="s">
        <v>109</v>
      </c>
      <c r="D24" s="15" t="s">
        <v>62</v>
      </c>
      <c r="E24" s="25" t="s">
        <v>114</v>
      </c>
      <c r="F24" s="15" t="s">
        <v>115</v>
      </c>
      <c r="G24" s="22" t="s">
        <v>100</v>
      </c>
      <c r="H24" s="22" t="s">
        <v>100</v>
      </c>
      <c r="I24" s="22" t="s">
        <v>100</v>
      </c>
      <c r="J24" s="22" t="s">
        <v>100</v>
      </c>
      <c r="K24" s="22" t="s">
        <v>100</v>
      </c>
      <c r="L24" s="22" t="s">
        <v>100</v>
      </c>
      <c r="M24" s="22" t="s">
        <v>100</v>
      </c>
    </row>
    <row r="25" spans="2:13" ht="28.5">
      <c r="B25" s="26" t="s">
        <v>116</v>
      </c>
      <c r="C25" s="27" t="s">
        <v>117</v>
      </c>
      <c r="D25" s="15" t="s">
        <v>62</v>
      </c>
      <c r="E25" s="16" t="s">
        <v>118</v>
      </c>
      <c r="F25" s="15" t="s">
        <v>119</v>
      </c>
      <c r="G25" s="22" t="s">
        <v>100</v>
      </c>
      <c r="H25" s="22" t="s">
        <v>100</v>
      </c>
      <c r="I25" s="22" t="s">
        <v>100</v>
      </c>
      <c r="J25" s="22" t="s">
        <v>100</v>
      </c>
      <c r="K25" s="22" t="s">
        <v>100</v>
      </c>
      <c r="L25" s="22" t="s">
        <v>100</v>
      </c>
      <c r="M25" s="22" t="s">
        <v>100</v>
      </c>
    </row>
    <row r="26" spans="2:13" ht="14.25">
      <c r="B26" s="26" t="s">
        <v>120</v>
      </c>
      <c r="C26" s="27" t="s">
        <v>117</v>
      </c>
      <c r="D26" s="15" t="s">
        <v>62</v>
      </c>
      <c r="E26" s="28" t="s">
        <v>121</v>
      </c>
      <c r="F26" s="15" t="s">
        <v>122</v>
      </c>
      <c r="G26" s="22" t="s">
        <v>100</v>
      </c>
      <c r="H26" s="22" t="s">
        <v>100</v>
      </c>
      <c r="I26" s="22" t="s">
        <v>100</v>
      </c>
      <c r="J26" s="22" t="s">
        <v>100</v>
      </c>
      <c r="K26" s="22" t="s">
        <v>100</v>
      </c>
      <c r="L26" s="22" t="s">
        <v>100</v>
      </c>
      <c r="M26" s="22" t="s">
        <v>100</v>
      </c>
    </row>
    <row r="27" spans="2:13" ht="14.25">
      <c r="B27" s="26" t="s">
        <v>123</v>
      </c>
      <c r="C27" s="27" t="s">
        <v>117</v>
      </c>
      <c r="D27" s="15" t="s">
        <v>62</v>
      </c>
      <c r="E27" s="25" t="s">
        <v>114</v>
      </c>
      <c r="F27" s="15" t="s">
        <v>107</v>
      </c>
      <c r="G27" s="22" t="s">
        <v>100</v>
      </c>
      <c r="H27" s="22" t="s">
        <v>100</v>
      </c>
      <c r="I27" s="22" t="s">
        <v>100</v>
      </c>
      <c r="J27" s="22" t="s">
        <v>100</v>
      </c>
      <c r="K27" s="22" t="s">
        <v>100</v>
      </c>
      <c r="L27" s="22" t="s">
        <v>100</v>
      </c>
      <c r="M27" s="22" t="s">
        <v>100</v>
      </c>
    </row>
    <row r="28" spans="2:13" ht="15.75">
      <c r="B28" s="29"/>
      <c r="C28" s="29"/>
      <c r="D28" s="10"/>
      <c r="E28" s="10"/>
      <c r="F28" s="1"/>
      <c r="G28" s="1"/>
      <c r="H28" s="1"/>
      <c r="I28" s="1"/>
      <c r="J28" s="1"/>
      <c r="K28" s="1"/>
      <c r="L28" s="1"/>
      <c r="M28" s="3"/>
    </row>
    <row r="29" spans="2:13" ht="15.75" customHeight="1"/>
    <row r="30" spans="2:13" ht="15.75" customHeight="1"/>
    <row r="31" spans="2:13" ht="15.75" customHeight="1"/>
    <row r="32" spans="2:1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</sheetData>
  <mergeCells count="8">
    <mergeCell ref="B2:M2"/>
    <mergeCell ref="B3:B4"/>
    <mergeCell ref="C3:C4"/>
    <mergeCell ref="D3:D4"/>
    <mergeCell ref="E3:E4"/>
    <mergeCell ref="F3:F4"/>
    <mergeCell ref="G3:J3"/>
    <mergeCell ref="K3:M3"/>
  </mergeCells>
  <conditionalFormatting sqref="G5:M27">
    <cfRule type="containsText" dxfId="3" priority="1" operator="containsText" text="PLANEJADO">
      <formula>NOT(ISERROR(SEARCH(("PLANEJADO"),(G5))))</formula>
    </cfRule>
  </conditionalFormatting>
  <conditionalFormatting sqref="G5:M27">
    <cfRule type="containsText" dxfId="2" priority="2" operator="containsText" text="DESENVOLVENDO">
      <formula>NOT(ISERROR(SEARCH(("DESENVOLVENDO"),(G5))))</formula>
    </cfRule>
  </conditionalFormatting>
  <conditionalFormatting sqref="G5:M27">
    <cfRule type="containsText" dxfId="1" priority="3" operator="containsText" text="EM ADOÇÃO">
      <formula>NOT(ISERROR(SEARCH(("EM ADOÇÃO"),(G5))))</formula>
    </cfRule>
  </conditionalFormatting>
  <conditionalFormatting sqref="G5:M27">
    <cfRule type="containsText" dxfId="0" priority="4" operator="containsText" text="ADOTADO">
      <formula>NOT(ISERROR(SEARCH(("ADOTADO"),(G5))))</formula>
    </cfRule>
  </conditionalFormatting>
  <pageMargins left="0" right="0" top="0" bottom="0" header="0" footer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96"/>
  <sheetViews>
    <sheetView showGridLines="0" workbookViewId="0">
      <selection activeCell="J4" sqref="J4:K7"/>
    </sheetView>
  </sheetViews>
  <sheetFormatPr defaultColWidth="12.5703125" defaultRowHeight="15" customHeight="1"/>
  <cols>
    <col min="1" max="1" width="16.42578125" customWidth="1"/>
    <col min="2" max="2" width="14.140625" bestFit="1" customWidth="1"/>
    <col min="3" max="3" width="38.140625" customWidth="1"/>
    <col min="4" max="4" width="72.140625" customWidth="1"/>
    <col min="5" max="5" width="73.85546875" customWidth="1"/>
    <col min="6" max="6" width="39" customWidth="1"/>
    <col min="7" max="7" width="8.140625" customWidth="1"/>
    <col min="8" max="8" width="18.140625" bestFit="1" customWidth="1"/>
    <col min="9" max="10" width="10.5703125" customWidth="1"/>
    <col min="11" max="11" width="17.42578125" customWidth="1"/>
  </cols>
  <sheetData>
    <row r="1" spans="1:11" ht="35.25" customHeight="1">
      <c r="A1" s="74" t="s">
        <v>124</v>
      </c>
      <c r="B1" s="81"/>
      <c r="C1" s="81"/>
      <c r="D1" s="81"/>
      <c r="E1" s="81"/>
      <c r="F1" s="81"/>
      <c r="G1" s="81"/>
      <c r="H1" s="82"/>
      <c r="I1" s="30"/>
      <c r="J1" s="75" t="s">
        <v>125</v>
      </c>
      <c r="K1" s="82"/>
    </row>
    <row r="2" spans="1:11" ht="27" customHeight="1">
      <c r="A2" s="83"/>
      <c r="B2" s="84"/>
      <c r="C2" s="84"/>
      <c r="D2" s="84"/>
      <c r="E2" s="84"/>
      <c r="F2" s="84"/>
      <c r="G2" s="84"/>
      <c r="H2" s="85"/>
      <c r="I2" s="31"/>
      <c r="J2" s="83"/>
      <c r="K2" s="85"/>
    </row>
    <row r="3" spans="1:11" ht="35.25" customHeight="1">
      <c r="A3" s="32" t="s">
        <v>126</v>
      </c>
      <c r="B3" s="33" t="s">
        <v>127</v>
      </c>
      <c r="C3" s="33" t="s">
        <v>128</v>
      </c>
      <c r="D3" s="34" t="s">
        <v>129</v>
      </c>
      <c r="E3" s="34" t="s">
        <v>130</v>
      </c>
      <c r="F3" s="33" t="s">
        <v>131</v>
      </c>
      <c r="G3" s="33" t="s">
        <v>132</v>
      </c>
      <c r="H3" s="33" t="s">
        <v>133</v>
      </c>
      <c r="I3" s="35"/>
      <c r="J3" s="36" t="s">
        <v>132</v>
      </c>
      <c r="K3" s="37" t="s">
        <v>133</v>
      </c>
    </row>
    <row r="4" spans="1:11" ht="35.25" customHeight="1">
      <c r="A4" s="76" t="s">
        <v>134</v>
      </c>
      <c r="B4" s="38" t="s">
        <v>65</v>
      </c>
      <c r="C4" s="39" t="s">
        <v>66</v>
      </c>
      <c r="D4" s="40" t="s">
        <v>135</v>
      </c>
      <c r="E4" s="40" t="s">
        <v>136</v>
      </c>
      <c r="F4" s="41" t="s">
        <v>137</v>
      </c>
      <c r="G4" s="42">
        <v>1.5</v>
      </c>
      <c r="H4" s="43" t="str">
        <f t="shared" ref="H4:H5" si="0">IF(G4=1,"PLANEJADO",IF(G4=1.5,"DESENVOLVENDO",IF(G4=2,"EM ADOÇÃO",IF(G4=3,"ADOTADO",""))))</f>
        <v>DESENVOLVENDO</v>
      </c>
      <c r="I4" s="44"/>
      <c r="J4" s="45">
        <v>1</v>
      </c>
      <c r="K4" s="45" t="s">
        <v>138</v>
      </c>
    </row>
    <row r="5" spans="1:11" ht="35.25" customHeight="1">
      <c r="A5" s="80"/>
      <c r="B5" s="38" t="s">
        <v>68</v>
      </c>
      <c r="C5" s="39" t="s">
        <v>139</v>
      </c>
      <c r="D5" s="40" t="s">
        <v>140</v>
      </c>
      <c r="E5" s="40" t="s">
        <v>141</v>
      </c>
      <c r="F5" s="46"/>
      <c r="G5" s="42">
        <v>1.5</v>
      </c>
      <c r="H5" s="43" t="str">
        <f t="shared" si="0"/>
        <v>DESENVOLVENDO</v>
      </c>
      <c r="I5" s="47"/>
      <c r="J5" s="48">
        <v>46143</v>
      </c>
      <c r="K5" s="45" t="s">
        <v>142</v>
      </c>
    </row>
    <row r="6" spans="1:11" ht="35.25" customHeight="1">
      <c r="A6" s="49"/>
      <c r="B6" s="49"/>
      <c r="C6" s="49"/>
      <c r="D6" s="50"/>
      <c r="E6" s="50"/>
      <c r="F6" s="49"/>
      <c r="G6" s="49"/>
      <c r="I6" s="44"/>
      <c r="J6" s="45">
        <v>2</v>
      </c>
      <c r="K6" s="45" t="s">
        <v>143</v>
      </c>
    </row>
    <row r="7" spans="1:11" ht="35.25" customHeight="1">
      <c r="A7" s="51" t="s">
        <v>126</v>
      </c>
      <c r="B7" s="51" t="s">
        <v>127</v>
      </c>
      <c r="C7" s="51" t="s">
        <v>128</v>
      </c>
      <c r="D7" s="52" t="s">
        <v>129</v>
      </c>
      <c r="E7" s="52" t="s">
        <v>130</v>
      </c>
      <c r="F7" s="51" t="s">
        <v>131</v>
      </c>
      <c r="G7" s="51" t="s">
        <v>132</v>
      </c>
      <c r="H7" s="51" t="s">
        <v>133</v>
      </c>
      <c r="I7" s="44"/>
      <c r="J7" s="45">
        <v>3</v>
      </c>
      <c r="K7" s="45" t="s">
        <v>144</v>
      </c>
    </row>
    <row r="8" spans="1:11" ht="27" customHeight="1">
      <c r="A8" s="72" t="s">
        <v>145</v>
      </c>
      <c r="B8" s="53" t="s">
        <v>60</v>
      </c>
      <c r="C8" s="39" t="s">
        <v>63</v>
      </c>
      <c r="D8" s="40" t="s">
        <v>146</v>
      </c>
      <c r="E8" s="40" t="s">
        <v>147</v>
      </c>
      <c r="F8" s="46"/>
      <c r="G8" s="45">
        <v>1</v>
      </c>
      <c r="H8" s="43" t="str">
        <f t="shared" ref="H8:H18" si="1">IF(G8=1,"PLANEJADO",IF(G8=1.5,"DESENVOLVENDO",IF(G8=2,"EM ADOÇÃO",IF(G8=3,"ADOTADO",""))))</f>
        <v>PLANEJADO</v>
      </c>
    </row>
    <row r="9" spans="1:11" ht="27" customHeight="1">
      <c r="A9" s="79"/>
      <c r="B9" s="53" t="s">
        <v>70</v>
      </c>
      <c r="C9" s="54" t="s">
        <v>71</v>
      </c>
      <c r="D9" s="40" t="s">
        <v>148</v>
      </c>
      <c r="E9" s="40" t="s">
        <v>149</v>
      </c>
      <c r="F9" s="46"/>
      <c r="G9" s="45">
        <v>1</v>
      </c>
      <c r="H9" s="43" t="str">
        <f t="shared" si="1"/>
        <v>PLANEJADO</v>
      </c>
    </row>
    <row r="10" spans="1:11" ht="27" customHeight="1">
      <c r="A10" s="79"/>
      <c r="B10" s="53" t="s">
        <v>73</v>
      </c>
      <c r="C10" s="54" t="s">
        <v>74</v>
      </c>
      <c r="D10" s="40" t="s">
        <v>150</v>
      </c>
      <c r="E10" s="40" t="s">
        <v>151</v>
      </c>
      <c r="F10" s="46"/>
      <c r="G10" s="45">
        <v>1</v>
      </c>
      <c r="H10" s="43" t="str">
        <f t="shared" si="1"/>
        <v>PLANEJADO</v>
      </c>
    </row>
    <row r="11" spans="1:11" ht="27" customHeight="1">
      <c r="A11" s="79"/>
      <c r="B11" s="53" t="s">
        <v>78</v>
      </c>
      <c r="C11" s="54" t="s">
        <v>79</v>
      </c>
      <c r="D11" s="40" t="s">
        <v>152</v>
      </c>
      <c r="E11" s="40" t="s">
        <v>153</v>
      </c>
      <c r="F11" s="46"/>
      <c r="G11" s="45">
        <v>1</v>
      </c>
      <c r="H11" s="43" t="str">
        <f t="shared" si="1"/>
        <v>PLANEJADO</v>
      </c>
    </row>
    <row r="12" spans="1:11" ht="27" customHeight="1">
      <c r="A12" s="79"/>
      <c r="B12" s="53" t="s">
        <v>75</v>
      </c>
      <c r="C12" s="39" t="s">
        <v>76</v>
      </c>
      <c r="D12" s="40" t="s">
        <v>154</v>
      </c>
      <c r="E12" s="40" t="s">
        <v>155</v>
      </c>
      <c r="F12" s="46"/>
      <c r="G12" s="45">
        <v>1</v>
      </c>
      <c r="H12" s="43" t="str">
        <f t="shared" si="1"/>
        <v>PLANEJADO</v>
      </c>
    </row>
    <row r="13" spans="1:11" ht="27" customHeight="1">
      <c r="A13" s="79"/>
      <c r="B13" s="53" t="s">
        <v>81</v>
      </c>
      <c r="C13" s="54" t="s">
        <v>79</v>
      </c>
      <c r="D13" s="40" t="s">
        <v>156</v>
      </c>
      <c r="E13" s="40" t="s">
        <v>157</v>
      </c>
      <c r="F13" s="46"/>
      <c r="G13" s="45">
        <v>1</v>
      </c>
      <c r="H13" s="43" t="str">
        <f t="shared" si="1"/>
        <v>PLANEJADO</v>
      </c>
    </row>
    <row r="14" spans="1:11" ht="27" customHeight="1">
      <c r="A14" s="79"/>
      <c r="B14" s="53" t="s">
        <v>82</v>
      </c>
      <c r="C14" s="54" t="s">
        <v>83</v>
      </c>
      <c r="D14" s="40" t="s">
        <v>158</v>
      </c>
      <c r="E14" s="40" t="s">
        <v>159</v>
      </c>
      <c r="F14" s="46"/>
      <c r="G14" s="45">
        <v>1</v>
      </c>
      <c r="H14" s="43" t="str">
        <f t="shared" si="1"/>
        <v>PLANEJADO</v>
      </c>
    </row>
    <row r="15" spans="1:11" ht="27" customHeight="1">
      <c r="A15" s="79"/>
      <c r="B15" s="53" t="s">
        <v>85</v>
      </c>
      <c r="C15" s="55" t="s">
        <v>86</v>
      </c>
      <c r="D15" s="40" t="s">
        <v>160</v>
      </c>
      <c r="E15" s="40" t="s">
        <v>161</v>
      </c>
      <c r="F15" s="46"/>
      <c r="G15" s="45">
        <v>2</v>
      </c>
      <c r="H15" s="43" t="str">
        <f t="shared" si="1"/>
        <v>EM ADOÇÃO</v>
      </c>
    </row>
    <row r="16" spans="1:11" ht="27" customHeight="1">
      <c r="A16" s="79"/>
      <c r="B16" s="53" t="s">
        <v>88</v>
      </c>
      <c r="C16" s="39" t="s">
        <v>89</v>
      </c>
      <c r="D16" s="40" t="s">
        <v>162</v>
      </c>
      <c r="E16" s="40" t="s">
        <v>163</v>
      </c>
      <c r="F16" s="46"/>
      <c r="G16" s="45">
        <v>1</v>
      </c>
      <c r="H16" s="43" t="str">
        <f t="shared" si="1"/>
        <v>PLANEJADO</v>
      </c>
    </row>
    <row r="17" spans="1:8" ht="27" customHeight="1">
      <c r="A17" s="79"/>
      <c r="B17" s="53" t="s">
        <v>90</v>
      </c>
      <c r="C17" s="55" t="s">
        <v>91</v>
      </c>
      <c r="D17" s="40" t="s">
        <v>164</v>
      </c>
      <c r="E17" s="40" t="s">
        <v>165</v>
      </c>
      <c r="F17" s="46"/>
      <c r="G17" s="45">
        <v>1</v>
      </c>
      <c r="H17" s="43" t="str">
        <f t="shared" si="1"/>
        <v>PLANEJADO</v>
      </c>
    </row>
    <row r="18" spans="1:8" ht="27" customHeight="1">
      <c r="A18" s="80"/>
      <c r="B18" s="53" t="s">
        <v>93</v>
      </c>
      <c r="C18" s="55" t="s">
        <v>94</v>
      </c>
      <c r="D18" s="40" t="s">
        <v>166</v>
      </c>
      <c r="E18" s="40" t="s">
        <v>167</v>
      </c>
      <c r="F18" s="46"/>
      <c r="G18" s="45">
        <v>1</v>
      </c>
      <c r="H18" s="43" t="str">
        <f t="shared" si="1"/>
        <v>PLANEJADO</v>
      </c>
    </row>
    <row r="19" spans="1:8">
      <c r="G19" s="56"/>
    </row>
    <row r="20" spans="1:8" ht="35.25" customHeight="1">
      <c r="A20" s="57" t="s">
        <v>126</v>
      </c>
      <c r="B20" s="57" t="s">
        <v>127</v>
      </c>
      <c r="C20" s="57" t="s">
        <v>128</v>
      </c>
      <c r="D20" s="58" t="s">
        <v>129</v>
      </c>
      <c r="E20" s="58" t="s">
        <v>130</v>
      </c>
      <c r="F20" s="57" t="s">
        <v>131</v>
      </c>
      <c r="G20" s="57" t="s">
        <v>132</v>
      </c>
      <c r="H20" s="57" t="s">
        <v>133</v>
      </c>
    </row>
    <row r="21" spans="1:8" ht="28.5">
      <c r="A21" s="73" t="s">
        <v>168</v>
      </c>
      <c r="B21" s="53" t="s">
        <v>60</v>
      </c>
      <c r="C21" s="39" t="s">
        <v>63</v>
      </c>
      <c r="D21" s="40" t="s">
        <v>146</v>
      </c>
      <c r="E21" s="40" t="s">
        <v>147</v>
      </c>
      <c r="F21" s="46"/>
      <c r="G21" s="42">
        <v>1</v>
      </c>
      <c r="H21" s="43" t="str">
        <f t="shared" ref="H21:H31" si="2">IF(G21=1,"PLANEJADO",IF(G21=1.5,"DESENVOLVENDO",IF(G21=2,"EM ADOÇÃO",IF(G21=3,"ADOTADO",""))))</f>
        <v>PLANEJADO</v>
      </c>
    </row>
    <row r="22" spans="1:8" ht="27" customHeight="1">
      <c r="A22" s="79"/>
      <c r="B22" s="53" t="s">
        <v>70</v>
      </c>
      <c r="C22" s="54" t="s">
        <v>71</v>
      </c>
      <c r="D22" s="40" t="s">
        <v>148</v>
      </c>
      <c r="E22" s="40" t="s">
        <v>149</v>
      </c>
      <c r="F22" s="46"/>
      <c r="G22" s="42">
        <v>1</v>
      </c>
      <c r="H22" s="43" t="str">
        <f t="shared" si="2"/>
        <v>PLANEJADO</v>
      </c>
    </row>
    <row r="23" spans="1:8" ht="27" customHeight="1">
      <c r="A23" s="79"/>
      <c r="B23" s="53" t="s">
        <v>73</v>
      </c>
      <c r="C23" s="54" t="s">
        <v>74</v>
      </c>
      <c r="D23" s="40" t="s">
        <v>150</v>
      </c>
      <c r="E23" s="40" t="s">
        <v>151</v>
      </c>
      <c r="F23" s="46"/>
      <c r="G23" s="42">
        <v>1</v>
      </c>
      <c r="H23" s="43" t="str">
        <f t="shared" si="2"/>
        <v>PLANEJADO</v>
      </c>
    </row>
    <row r="24" spans="1:8" ht="27" customHeight="1">
      <c r="A24" s="79"/>
      <c r="B24" s="53" t="s">
        <v>78</v>
      </c>
      <c r="C24" s="54" t="s">
        <v>79</v>
      </c>
      <c r="D24" s="40" t="s">
        <v>152</v>
      </c>
      <c r="E24" s="40" t="s">
        <v>153</v>
      </c>
      <c r="F24" s="46"/>
      <c r="G24" s="42">
        <v>1</v>
      </c>
      <c r="H24" s="43" t="str">
        <f t="shared" si="2"/>
        <v>PLANEJADO</v>
      </c>
    </row>
    <row r="25" spans="1:8" ht="27" customHeight="1">
      <c r="A25" s="79"/>
      <c r="B25" s="53" t="s">
        <v>75</v>
      </c>
      <c r="C25" s="39" t="s">
        <v>76</v>
      </c>
      <c r="D25" s="40" t="s">
        <v>154</v>
      </c>
      <c r="E25" s="40" t="s">
        <v>155</v>
      </c>
      <c r="F25" s="46"/>
      <c r="G25" s="42">
        <v>1</v>
      </c>
      <c r="H25" s="43" t="str">
        <f t="shared" si="2"/>
        <v>PLANEJADO</v>
      </c>
    </row>
    <row r="26" spans="1:8" ht="27" customHeight="1">
      <c r="A26" s="79"/>
      <c r="B26" s="53" t="s">
        <v>81</v>
      </c>
      <c r="C26" s="54" t="s">
        <v>79</v>
      </c>
      <c r="D26" s="40" t="s">
        <v>156</v>
      </c>
      <c r="E26" s="40" t="s">
        <v>157</v>
      </c>
      <c r="F26" s="46"/>
      <c r="G26" s="42">
        <v>1</v>
      </c>
      <c r="H26" s="43" t="str">
        <f t="shared" si="2"/>
        <v>PLANEJADO</v>
      </c>
    </row>
    <row r="27" spans="1:8" ht="27" customHeight="1">
      <c r="A27" s="79"/>
      <c r="B27" s="53" t="s">
        <v>82</v>
      </c>
      <c r="C27" s="54" t="s">
        <v>83</v>
      </c>
      <c r="D27" s="40" t="s">
        <v>158</v>
      </c>
      <c r="E27" s="40" t="s">
        <v>159</v>
      </c>
      <c r="F27" s="46"/>
      <c r="G27" s="42">
        <v>1</v>
      </c>
      <c r="H27" s="43" t="str">
        <f t="shared" si="2"/>
        <v>PLANEJADO</v>
      </c>
    </row>
    <row r="28" spans="1:8" ht="27" customHeight="1">
      <c r="A28" s="79"/>
      <c r="B28" s="53" t="s">
        <v>85</v>
      </c>
      <c r="C28" s="55" t="s">
        <v>86</v>
      </c>
      <c r="D28" s="40" t="s">
        <v>160</v>
      </c>
      <c r="E28" s="40" t="s">
        <v>161</v>
      </c>
      <c r="F28" s="46"/>
      <c r="G28" s="42">
        <v>2</v>
      </c>
      <c r="H28" s="43" t="str">
        <f t="shared" si="2"/>
        <v>EM ADOÇÃO</v>
      </c>
    </row>
    <row r="29" spans="1:8" ht="27" customHeight="1">
      <c r="A29" s="79"/>
      <c r="B29" s="53" t="s">
        <v>88</v>
      </c>
      <c r="C29" s="39" t="s">
        <v>89</v>
      </c>
      <c r="D29" s="40" t="s">
        <v>162</v>
      </c>
      <c r="E29" s="40" t="s">
        <v>163</v>
      </c>
      <c r="F29" s="46"/>
      <c r="G29" s="42">
        <v>1</v>
      </c>
      <c r="H29" s="43" t="str">
        <f t="shared" si="2"/>
        <v>PLANEJADO</v>
      </c>
    </row>
    <row r="30" spans="1:8" ht="27" customHeight="1">
      <c r="A30" s="79"/>
      <c r="B30" s="53" t="s">
        <v>90</v>
      </c>
      <c r="C30" s="55" t="s">
        <v>91</v>
      </c>
      <c r="D30" s="40" t="s">
        <v>164</v>
      </c>
      <c r="E30" s="40" t="s">
        <v>165</v>
      </c>
      <c r="F30" s="46"/>
      <c r="G30" s="42">
        <v>1</v>
      </c>
      <c r="H30" s="43" t="str">
        <f t="shared" si="2"/>
        <v>PLANEJADO</v>
      </c>
    </row>
    <row r="31" spans="1:8" ht="27" customHeight="1">
      <c r="A31" s="80"/>
      <c r="B31" s="53" t="s">
        <v>93</v>
      </c>
      <c r="C31" s="55" t="s">
        <v>94</v>
      </c>
      <c r="D31" s="40" t="s">
        <v>166</v>
      </c>
      <c r="E31" s="40" t="s">
        <v>167</v>
      </c>
      <c r="F31" s="46"/>
      <c r="G31" s="42">
        <v>1</v>
      </c>
      <c r="H31" s="43" t="str">
        <f t="shared" si="2"/>
        <v>PLANEJADO</v>
      </c>
    </row>
    <row r="32" spans="1:8">
      <c r="G32" s="56"/>
    </row>
    <row r="33" spans="1:8" ht="36" customHeight="1">
      <c r="A33" s="51" t="s">
        <v>126</v>
      </c>
      <c r="B33" s="51" t="s">
        <v>127</v>
      </c>
      <c r="C33" s="51" t="s">
        <v>128</v>
      </c>
      <c r="D33" s="52" t="s">
        <v>129</v>
      </c>
      <c r="E33" s="52" t="s">
        <v>130</v>
      </c>
      <c r="F33" s="51" t="s">
        <v>131</v>
      </c>
      <c r="G33" s="51" t="s">
        <v>132</v>
      </c>
      <c r="H33" s="51" t="s">
        <v>133</v>
      </c>
    </row>
    <row r="34" spans="1:8" ht="27.75" customHeight="1">
      <c r="A34" s="72" t="s">
        <v>169</v>
      </c>
      <c r="B34" s="53" t="s">
        <v>60</v>
      </c>
      <c r="C34" s="39" t="s">
        <v>63</v>
      </c>
      <c r="D34" s="40" t="s">
        <v>146</v>
      </c>
      <c r="E34" s="40" t="s">
        <v>147</v>
      </c>
      <c r="F34" s="46"/>
      <c r="G34" s="42">
        <v>1</v>
      </c>
      <c r="H34" s="43" t="str">
        <f t="shared" ref="H34:H44" si="3">IF(G34=1,"PLANEJADO",IF(G34=1.5,"DESENVOLVENDO",IF(G34=2,"EM ADOÇÃO",IF(G34=3,"ADOTADO",""))))</f>
        <v>PLANEJADO</v>
      </c>
    </row>
    <row r="35" spans="1:8" ht="27.75" customHeight="1">
      <c r="A35" s="79"/>
      <c r="B35" s="53" t="s">
        <v>70</v>
      </c>
      <c r="C35" s="54" t="s">
        <v>71</v>
      </c>
      <c r="D35" s="40" t="s">
        <v>148</v>
      </c>
      <c r="E35" s="40" t="s">
        <v>149</v>
      </c>
      <c r="F35" s="46"/>
      <c r="G35" s="42">
        <v>1</v>
      </c>
      <c r="H35" s="43" t="str">
        <f t="shared" si="3"/>
        <v>PLANEJADO</v>
      </c>
    </row>
    <row r="36" spans="1:8" ht="27.75" customHeight="1">
      <c r="A36" s="79"/>
      <c r="B36" s="53" t="s">
        <v>73</v>
      </c>
      <c r="C36" s="54" t="s">
        <v>74</v>
      </c>
      <c r="D36" s="40" t="s">
        <v>150</v>
      </c>
      <c r="E36" s="40" t="s">
        <v>151</v>
      </c>
      <c r="F36" s="46"/>
      <c r="G36" s="42">
        <v>1</v>
      </c>
      <c r="H36" s="43" t="str">
        <f t="shared" si="3"/>
        <v>PLANEJADO</v>
      </c>
    </row>
    <row r="37" spans="1:8" ht="27.75" customHeight="1">
      <c r="A37" s="79"/>
      <c r="B37" s="53" t="s">
        <v>78</v>
      </c>
      <c r="C37" s="54" t="s">
        <v>79</v>
      </c>
      <c r="D37" s="40" t="s">
        <v>152</v>
      </c>
      <c r="E37" s="40" t="s">
        <v>153</v>
      </c>
      <c r="F37" s="46"/>
      <c r="G37" s="42">
        <v>1</v>
      </c>
      <c r="H37" s="43" t="str">
        <f t="shared" si="3"/>
        <v>PLANEJADO</v>
      </c>
    </row>
    <row r="38" spans="1:8" ht="27.75" customHeight="1">
      <c r="A38" s="79"/>
      <c r="B38" s="53" t="s">
        <v>75</v>
      </c>
      <c r="C38" s="39" t="s">
        <v>76</v>
      </c>
      <c r="D38" s="40" t="s">
        <v>154</v>
      </c>
      <c r="E38" s="40" t="s">
        <v>155</v>
      </c>
      <c r="F38" s="46"/>
      <c r="G38" s="42">
        <v>1</v>
      </c>
      <c r="H38" s="43" t="str">
        <f t="shared" si="3"/>
        <v>PLANEJADO</v>
      </c>
    </row>
    <row r="39" spans="1:8" ht="27.75" customHeight="1">
      <c r="A39" s="79"/>
      <c r="B39" s="53" t="s">
        <v>81</v>
      </c>
      <c r="C39" s="54" t="s">
        <v>79</v>
      </c>
      <c r="D39" s="40" t="s">
        <v>156</v>
      </c>
      <c r="E39" s="40" t="s">
        <v>157</v>
      </c>
      <c r="F39" s="46"/>
      <c r="G39" s="42">
        <v>1</v>
      </c>
      <c r="H39" s="43" t="str">
        <f t="shared" si="3"/>
        <v>PLANEJADO</v>
      </c>
    </row>
    <row r="40" spans="1:8" ht="27.75" customHeight="1">
      <c r="A40" s="79"/>
      <c r="B40" s="53" t="s">
        <v>82</v>
      </c>
      <c r="C40" s="54" t="s">
        <v>83</v>
      </c>
      <c r="D40" s="40" t="s">
        <v>158</v>
      </c>
      <c r="E40" s="40" t="s">
        <v>159</v>
      </c>
      <c r="F40" s="46"/>
      <c r="G40" s="42">
        <v>1</v>
      </c>
      <c r="H40" s="43" t="str">
        <f t="shared" si="3"/>
        <v>PLANEJADO</v>
      </c>
    </row>
    <row r="41" spans="1:8" ht="27.75" customHeight="1">
      <c r="A41" s="79"/>
      <c r="B41" s="53" t="s">
        <v>85</v>
      </c>
      <c r="C41" s="55" t="s">
        <v>86</v>
      </c>
      <c r="D41" s="40" t="s">
        <v>160</v>
      </c>
      <c r="E41" s="40" t="s">
        <v>161</v>
      </c>
      <c r="F41" s="46"/>
      <c r="G41" s="42">
        <v>1</v>
      </c>
      <c r="H41" s="43" t="str">
        <f t="shared" si="3"/>
        <v>PLANEJADO</v>
      </c>
    </row>
    <row r="42" spans="1:8" ht="27.75" customHeight="1">
      <c r="A42" s="79"/>
      <c r="B42" s="53" t="s">
        <v>88</v>
      </c>
      <c r="C42" s="39" t="s">
        <v>89</v>
      </c>
      <c r="D42" s="40" t="s">
        <v>162</v>
      </c>
      <c r="E42" s="40" t="s">
        <v>163</v>
      </c>
      <c r="F42" s="46"/>
      <c r="G42" s="42">
        <v>1</v>
      </c>
      <c r="H42" s="43" t="str">
        <f t="shared" si="3"/>
        <v>PLANEJADO</v>
      </c>
    </row>
    <row r="43" spans="1:8" ht="27.75" customHeight="1">
      <c r="A43" s="79"/>
      <c r="B43" s="53" t="s">
        <v>90</v>
      </c>
      <c r="C43" s="55" t="s">
        <v>91</v>
      </c>
      <c r="D43" s="40" t="s">
        <v>164</v>
      </c>
      <c r="E43" s="40" t="s">
        <v>165</v>
      </c>
      <c r="F43" s="46"/>
      <c r="G43" s="42">
        <v>2</v>
      </c>
      <c r="H43" s="43" t="str">
        <f t="shared" si="3"/>
        <v>EM ADOÇÃO</v>
      </c>
    </row>
    <row r="44" spans="1:8" ht="27.75" customHeight="1">
      <c r="A44" s="80"/>
      <c r="B44" s="53" t="s">
        <v>93</v>
      </c>
      <c r="C44" s="55" t="s">
        <v>94</v>
      </c>
      <c r="D44" s="40" t="s">
        <v>166</v>
      </c>
      <c r="E44" s="40" t="s">
        <v>167</v>
      </c>
      <c r="F44" s="46"/>
      <c r="G44" s="42">
        <v>1</v>
      </c>
      <c r="H44" s="43" t="str">
        <f t="shared" si="3"/>
        <v>PLANEJADO</v>
      </c>
    </row>
    <row r="45" spans="1:8">
      <c r="G45" s="56"/>
    </row>
    <row r="46" spans="1:8" ht="36.75" customHeight="1">
      <c r="A46" s="57" t="s">
        <v>126</v>
      </c>
      <c r="B46" s="57" t="s">
        <v>127</v>
      </c>
      <c r="C46" s="57" t="s">
        <v>128</v>
      </c>
      <c r="D46" s="58" t="s">
        <v>129</v>
      </c>
      <c r="E46" s="58" t="s">
        <v>130</v>
      </c>
      <c r="F46" s="57" t="s">
        <v>131</v>
      </c>
      <c r="G46" s="57" t="s">
        <v>132</v>
      </c>
      <c r="H46" s="57" t="s">
        <v>133</v>
      </c>
    </row>
    <row r="47" spans="1:8" ht="37.5" customHeight="1">
      <c r="A47" s="73" t="s">
        <v>170</v>
      </c>
      <c r="B47" s="53" t="s">
        <v>60</v>
      </c>
      <c r="C47" s="39" t="s">
        <v>63</v>
      </c>
      <c r="D47" s="40" t="s">
        <v>146</v>
      </c>
      <c r="E47" s="40" t="s">
        <v>147</v>
      </c>
      <c r="F47" s="46"/>
      <c r="G47" s="42">
        <v>1</v>
      </c>
      <c r="H47" s="43" t="str">
        <f t="shared" ref="H47:H57" si="4">IF(G47=1,"PLANEJADO",IF(G47=1.5,"DESENVOLVENDO",IF(G47=2,"EM ADOÇÃO",IF(G47=3,"ADOTADO",""))))</f>
        <v>PLANEJADO</v>
      </c>
    </row>
    <row r="48" spans="1:8" ht="37.5" customHeight="1">
      <c r="A48" s="79"/>
      <c r="B48" s="53" t="s">
        <v>70</v>
      </c>
      <c r="C48" s="54" t="s">
        <v>71</v>
      </c>
      <c r="D48" s="40" t="s">
        <v>148</v>
      </c>
      <c r="E48" s="40" t="s">
        <v>149</v>
      </c>
      <c r="F48" s="46"/>
      <c r="G48" s="42">
        <v>1</v>
      </c>
      <c r="H48" s="43" t="str">
        <f t="shared" si="4"/>
        <v>PLANEJADO</v>
      </c>
    </row>
    <row r="49" spans="1:8" ht="37.5" customHeight="1">
      <c r="A49" s="79"/>
      <c r="B49" s="53" t="s">
        <v>73</v>
      </c>
      <c r="C49" s="54" t="s">
        <v>74</v>
      </c>
      <c r="D49" s="40" t="s">
        <v>150</v>
      </c>
      <c r="E49" s="40" t="s">
        <v>151</v>
      </c>
      <c r="F49" s="46"/>
      <c r="G49" s="42">
        <v>1</v>
      </c>
      <c r="H49" s="43" t="str">
        <f t="shared" si="4"/>
        <v>PLANEJADO</v>
      </c>
    </row>
    <row r="50" spans="1:8" ht="37.5" customHeight="1">
      <c r="A50" s="79"/>
      <c r="B50" s="53" t="s">
        <v>78</v>
      </c>
      <c r="C50" s="54" t="s">
        <v>79</v>
      </c>
      <c r="D50" s="40" t="s">
        <v>152</v>
      </c>
      <c r="E50" s="40" t="s">
        <v>153</v>
      </c>
      <c r="F50" s="46"/>
      <c r="G50" s="42">
        <v>3</v>
      </c>
      <c r="H50" s="43" t="str">
        <f t="shared" si="4"/>
        <v>ADOTADO</v>
      </c>
    </row>
    <row r="51" spans="1:8" ht="37.5" customHeight="1">
      <c r="A51" s="79"/>
      <c r="B51" s="53" t="s">
        <v>75</v>
      </c>
      <c r="C51" s="39" t="s">
        <v>76</v>
      </c>
      <c r="D51" s="40" t="s">
        <v>154</v>
      </c>
      <c r="E51" s="40" t="s">
        <v>155</v>
      </c>
      <c r="F51" s="46"/>
      <c r="G51" s="42">
        <v>3</v>
      </c>
      <c r="H51" s="43" t="str">
        <f t="shared" si="4"/>
        <v>ADOTADO</v>
      </c>
    </row>
    <row r="52" spans="1:8" ht="37.5" customHeight="1">
      <c r="A52" s="79"/>
      <c r="B52" s="53" t="s">
        <v>81</v>
      </c>
      <c r="C52" s="54" t="s">
        <v>79</v>
      </c>
      <c r="D52" s="40" t="s">
        <v>156</v>
      </c>
      <c r="E52" s="40" t="s">
        <v>157</v>
      </c>
      <c r="F52" s="46"/>
      <c r="G52" s="42">
        <v>3</v>
      </c>
      <c r="H52" s="43" t="str">
        <f t="shared" si="4"/>
        <v>ADOTADO</v>
      </c>
    </row>
    <row r="53" spans="1:8" ht="37.5" customHeight="1">
      <c r="A53" s="79"/>
      <c r="B53" s="53" t="s">
        <v>82</v>
      </c>
      <c r="C53" s="54" t="s">
        <v>83</v>
      </c>
      <c r="D53" s="40" t="s">
        <v>158</v>
      </c>
      <c r="E53" s="40" t="s">
        <v>159</v>
      </c>
      <c r="F53" s="46"/>
      <c r="G53" s="42">
        <v>3</v>
      </c>
      <c r="H53" s="43" t="str">
        <f t="shared" si="4"/>
        <v>ADOTADO</v>
      </c>
    </row>
    <row r="54" spans="1:8" ht="37.5" customHeight="1">
      <c r="A54" s="79"/>
      <c r="B54" s="53" t="s">
        <v>85</v>
      </c>
      <c r="C54" s="55" t="s">
        <v>86</v>
      </c>
      <c r="D54" s="40" t="s">
        <v>160</v>
      </c>
      <c r="E54" s="40" t="s">
        <v>161</v>
      </c>
      <c r="F54" s="46"/>
      <c r="G54" s="42">
        <v>1</v>
      </c>
      <c r="H54" s="43" t="str">
        <f t="shared" si="4"/>
        <v>PLANEJADO</v>
      </c>
    </row>
    <row r="55" spans="1:8" ht="37.5" customHeight="1">
      <c r="A55" s="79"/>
      <c r="B55" s="53" t="s">
        <v>88</v>
      </c>
      <c r="C55" s="39" t="s">
        <v>89</v>
      </c>
      <c r="D55" s="40" t="s">
        <v>162</v>
      </c>
      <c r="E55" s="40" t="s">
        <v>163</v>
      </c>
      <c r="F55" s="46"/>
      <c r="G55" s="42">
        <v>3</v>
      </c>
      <c r="H55" s="43" t="str">
        <f t="shared" si="4"/>
        <v>ADOTADO</v>
      </c>
    </row>
    <row r="56" spans="1:8" ht="37.5" customHeight="1">
      <c r="A56" s="79"/>
      <c r="B56" s="53" t="s">
        <v>90</v>
      </c>
      <c r="C56" s="55" t="s">
        <v>91</v>
      </c>
      <c r="D56" s="40" t="s">
        <v>164</v>
      </c>
      <c r="E56" s="40" t="s">
        <v>165</v>
      </c>
      <c r="F56" s="46"/>
      <c r="G56" s="42">
        <v>1</v>
      </c>
      <c r="H56" s="43" t="str">
        <f t="shared" si="4"/>
        <v>PLANEJADO</v>
      </c>
    </row>
    <row r="57" spans="1:8" ht="37.5" customHeight="1">
      <c r="A57" s="80"/>
      <c r="B57" s="53" t="s">
        <v>93</v>
      </c>
      <c r="C57" s="55" t="s">
        <v>94</v>
      </c>
      <c r="D57" s="40" t="s">
        <v>166</v>
      </c>
      <c r="E57" s="40" t="s">
        <v>167</v>
      </c>
      <c r="F57" s="46"/>
      <c r="G57" s="42">
        <v>1</v>
      </c>
      <c r="H57" s="43" t="str">
        <f t="shared" si="4"/>
        <v>PLANEJADO</v>
      </c>
    </row>
    <row r="58" spans="1:8">
      <c r="G58" s="56"/>
    </row>
    <row r="59" spans="1:8" ht="33" customHeight="1">
      <c r="A59" s="51" t="s">
        <v>126</v>
      </c>
      <c r="B59" s="51" t="s">
        <v>127</v>
      </c>
      <c r="C59" s="51" t="s">
        <v>128</v>
      </c>
      <c r="D59" s="52" t="s">
        <v>129</v>
      </c>
      <c r="E59" s="52" t="s">
        <v>130</v>
      </c>
      <c r="F59" s="51" t="s">
        <v>131</v>
      </c>
      <c r="G59" s="51" t="s">
        <v>132</v>
      </c>
      <c r="H59" s="51" t="s">
        <v>133</v>
      </c>
    </row>
    <row r="60" spans="1:8" ht="25.5" customHeight="1">
      <c r="A60" s="72" t="s">
        <v>171</v>
      </c>
      <c r="B60" s="53" t="s">
        <v>60</v>
      </c>
      <c r="C60" s="39" t="s">
        <v>63</v>
      </c>
      <c r="D60" s="40" t="s">
        <v>146</v>
      </c>
      <c r="E60" s="40" t="s">
        <v>147</v>
      </c>
      <c r="F60" s="46"/>
      <c r="G60" s="42">
        <v>1</v>
      </c>
      <c r="H60" s="43" t="str">
        <f t="shared" ref="H60:H70" si="5">IF(G60=1,"PLANEJADO",IF(G60=1.5,"DESENVOLVENDO",IF(G60=2,"EM ADOÇÃO",IF(G60=3,"ADOTADO",""))))</f>
        <v>PLANEJADO</v>
      </c>
    </row>
    <row r="61" spans="1:8" ht="25.5" customHeight="1">
      <c r="A61" s="79"/>
      <c r="B61" s="53" t="s">
        <v>70</v>
      </c>
      <c r="C61" s="54" t="s">
        <v>71</v>
      </c>
      <c r="D61" s="40" t="s">
        <v>148</v>
      </c>
      <c r="E61" s="40" t="s">
        <v>149</v>
      </c>
      <c r="F61" s="46"/>
      <c r="G61" s="42">
        <v>3</v>
      </c>
      <c r="H61" s="43" t="str">
        <f t="shared" si="5"/>
        <v>ADOTADO</v>
      </c>
    </row>
    <row r="62" spans="1:8" ht="25.5" customHeight="1">
      <c r="A62" s="79"/>
      <c r="B62" s="53" t="s">
        <v>73</v>
      </c>
      <c r="C62" s="54" t="s">
        <v>74</v>
      </c>
      <c r="D62" s="40" t="s">
        <v>150</v>
      </c>
      <c r="E62" s="40" t="s">
        <v>151</v>
      </c>
      <c r="F62" s="46"/>
      <c r="G62" s="42">
        <v>3</v>
      </c>
      <c r="H62" s="43" t="str">
        <f t="shared" si="5"/>
        <v>ADOTADO</v>
      </c>
    </row>
    <row r="63" spans="1:8" ht="25.5" customHeight="1">
      <c r="A63" s="79"/>
      <c r="B63" s="53" t="s">
        <v>78</v>
      </c>
      <c r="C63" s="54" t="s">
        <v>79</v>
      </c>
      <c r="D63" s="40" t="s">
        <v>152</v>
      </c>
      <c r="E63" s="40" t="s">
        <v>153</v>
      </c>
      <c r="F63" s="46"/>
      <c r="G63" s="42">
        <v>3</v>
      </c>
      <c r="H63" s="43" t="str">
        <f t="shared" si="5"/>
        <v>ADOTADO</v>
      </c>
    </row>
    <row r="64" spans="1:8" ht="25.5" customHeight="1">
      <c r="A64" s="79"/>
      <c r="B64" s="53" t="s">
        <v>75</v>
      </c>
      <c r="C64" s="39" t="s">
        <v>76</v>
      </c>
      <c r="D64" s="40" t="s">
        <v>154</v>
      </c>
      <c r="E64" s="40" t="s">
        <v>155</v>
      </c>
      <c r="F64" s="46"/>
      <c r="G64" s="42">
        <v>3</v>
      </c>
      <c r="H64" s="43" t="str">
        <f t="shared" si="5"/>
        <v>ADOTADO</v>
      </c>
    </row>
    <row r="65" spans="1:8" ht="25.5" customHeight="1">
      <c r="A65" s="79"/>
      <c r="B65" s="53" t="s">
        <v>81</v>
      </c>
      <c r="C65" s="54" t="s">
        <v>79</v>
      </c>
      <c r="D65" s="40" t="s">
        <v>156</v>
      </c>
      <c r="E65" s="40" t="s">
        <v>157</v>
      </c>
      <c r="F65" s="46"/>
      <c r="G65" s="42">
        <v>3</v>
      </c>
      <c r="H65" s="43" t="str">
        <f t="shared" si="5"/>
        <v>ADOTADO</v>
      </c>
    </row>
    <row r="66" spans="1:8" ht="25.5" customHeight="1">
      <c r="A66" s="79"/>
      <c r="B66" s="53" t="s">
        <v>82</v>
      </c>
      <c r="C66" s="54" t="s">
        <v>83</v>
      </c>
      <c r="D66" s="40" t="s">
        <v>158</v>
      </c>
      <c r="E66" s="40" t="s">
        <v>159</v>
      </c>
      <c r="F66" s="46"/>
      <c r="G66" s="42">
        <v>3</v>
      </c>
      <c r="H66" s="43" t="str">
        <f t="shared" si="5"/>
        <v>ADOTADO</v>
      </c>
    </row>
    <row r="67" spans="1:8" ht="25.5" customHeight="1">
      <c r="A67" s="79"/>
      <c r="B67" s="53" t="s">
        <v>85</v>
      </c>
      <c r="C67" s="55" t="s">
        <v>86</v>
      </c>
      <c r="D67" s="40" t="s">
        <v>160</v>
      </c>
      <c r="E67" s="40" t="s">
        <v>161</v>
      </c>
      <c r="F67" s="46"/>
      <c r="G67" s="42">
        <v>1</v>
      </c>
      <c r="H67" s="43" t="str">
        <f t="shared" si="5"/>
        <v>PLANEJADO</v>
      </c>
    </row>
    <row r="68" spans="1:8" ht="25.5" customHeight="1">
      <c r="A68" s="79"/>
      <c r="B68" s="53" t="s">
        <v>88</v>
      </c>
      <c r="C68" s="39" t="s">
        <v>89</v>
      </c>
      <c r="D68" s="40" t="s">
        <v>162</v>
      </c>
      <c r="E68" s="40" t="s">
        <v>163</v>
      </c>
      <c r="F68" s="46"/>
      <c r="G68" s="42">
        <v>3</v>
      </c>
      <c r="H68" s="43" t="str">
        <f t="shared" si="5"/>
        <v>ADOTADO</v>
      </c>
    </row>
    <row r="69" spans="1:8" ht="25.5" customHeight="1">
      <c r="A69" s="79"/>
      <c r="B69" s="53" t="s">
        <v>90</v>
      </c>
      <c r="C69" s="55" t="s">
        <v>91</v>
      </c>
      <c r="D69" s="40" t="s">
        <v>164</v>
      </c>
      <c r="E69" s="40" t="s">
        <v>165</v>
      </c>
      <c r="F69" s="46"/>
      <c r="G69" s="42">
        <v>1</v>
      </c>
      <c r="H69" s="43" t="str">
        <f t="shared" si="5"/>
        <v>PLANEJADO</v>
      </c>
    </row>
    <row r="70" spans="1:8" ht="25.5" customHeight="1">
      <c r="A70" s="80"/>
      <c r="B70" s="53" t="s">
        <v>93</v>
      </c>
      <c r="C70" s="55" t="s">
        <v>94</v>
      </c>
      <c r="D70" s="40" t="s">
        <v>172</v>
      </c>
      <c r="E70" s="40" t="s">
        <v>167</v>
      </c>
      <c r="F70" s="46"/>
      <c r="G70" s="42">
        <v>1</v>
      </c>
      <c r="H70" s="43" t="str">
        <f t="shared" si="5"/>
        <v>PLANEJADO</v>
      </c>
    </row>
    <row r="71" spans="1:8">
      <c r="G71" s="56"/>
    </row>
    <row r="72" spans="1:8" ht="38.25" customHeight="1">
      <c r="A72" s="57" t="s">
        <v>126</v>
      </c>
      <c r="B72" s="57" t="s">
        <v>127</v>
      </c>
      <c r="C72" s="57" t="s">
        <v>128</v>
      </c>
      <c r="D72" s="58" t="s">
        <v>129</v>
      </c>
      <c r="E72" s="58" t="s">
        <v>130</v>
      </c>
      <c r="F72" s="57" t="s">
        <v>131</v>
      </c>
      <c r="G72" s="57" t="s">
        <v>132</v>
      </c>
      <c r="H72" s="57" t="s">
        <v>133</v>
      </c>
    </row>
    <row r="73" spans="1:8" ht="28.5" customHeight="1">
      <c r="A73" s="73" t="s">
        <v>173</v>
      </c>
      <c r="B73" s="53" t="s">
        <v>60</v>
      </c>
      <c r="C73" s="39" t="s">
        <v>63</v>
      </c>
      <c r="D73" s="40" t="s">
        <v>146</v>
      </c>
      <c r="E73" s="40" t="s">
        <v>147</v>
      </c>
      <c r="F73" s="46"/>
      <c r="G73" s="42">
        <v>1</v>
      </c>
      <c r="H73" s="43" t="str">
        <f t="shared" ref="H73:H83" si="6">IF(G73=1,"PLANEJADO",IF(G73=1.5,"DESENVOLVENDO",IF(G73=2,"EM ADOÇÃO",IF(G73=3,"ADOTADO",""))))</f>
        <v>PLANEJADO</v>
      </c>
    </row>
    <row r="74" spans="1:8" ht="28.5" customHeight="1">
      <c r="A74" s="79"/>
      <c r="B74" s="53" t="s">
        <v>70</v>
      </c>
      <c r="C74" s="54" t="s">
        <v>71</v>
      </c>
      <c r="D74" s="40" t="s">
        <v>148</v>
      </c>
      <c r="E74" s="40" t="s">
        <v>149</v>
      </c>
      <c r="F74" s="46"/>
      <c r="G74" s="42">
        <v>1</v>
      </c>
      <c r="H74" s="43" t="str">
        <f t="shared" si="6"/>
        <v>PLANEJADO</v>
      </c>
    </row>
    <row r="75" spans="1:8" ht="28.5" customHeight="1">
      <c r="A75" s="79"/>
      <c r="B75" s="53" t="s">
        <v>73</v>
      </c>
      <c r="C75" s="54" t="s">
        <v>74</v>
      </c>
      <c r="D75" s="40" t="s">
        <v>150</v>
      </c>
      <c r="E75" s="40" t="s">
        <v>151</v>
      </c>
      <c r="F75" s="46"/>
      <c r="G75" s="42">
        <v>1</v>
      </c>
      <c r="H75" s="43" t="str">
        <f t="shared" si="6"/>
        <v>PLANEJADO</v>
      </c>
    </row>
    <row r="76" spans="1:8" ht="28.5" customHeight="1">
      <c r="A76" s="79"/>
      <c r="B76" s="53" t="s">
        <v>78</v>
      </c>
      <c r="C76" s="54" t="s">
        <v>79</v>
      </c>
      <c r="D76" s="40" t="s">
        <v>152</v>
      </c>
      <c r="E76" s="40" t="s">
        <v>153</v>
      </c>
      <c r="F76" s="46"/>
      <c r="G76" s="42">
        <v>1</v>
      </c>
      <c r="H76" s="43" t="str">
        <f t="shared" si="6"/>
        <v>PLANEJADO</v>
      </c>
    </row>
    <row r="77" spans="1:8" ht="28.5" customHeight="1">
      <c r="A77" s="79"/>
      <c r="B77" s="53" t="s">
        <v>75</v>
      </c>
      <c r="C77" s="39" t="s">
        <v>76</v>
      </c>
      <c r="D77" s="40" t="s">
        <v>154</v>
      </c>
      <c r="E77" s="40" t="s">
        <v>155</v>
      </c>
      <c r="F77" s="46"/>
      <c r="G77" s="42">
        <v>1</v>
      </c>
      <c r="H77" s="43" t="str">
        <f t="shared" si="6"/>
        <v>PLANEJADO</v>
      </c>
    </row>
    <row r="78" spans="1:8" ht="28.5" customHeight="1">
      <c r="A78" s="79"/>
      <c r="B78" s="53" t="s">
        <v>81</v>
      </c>
      <c r="C78" s="54" t="s">
        <v>79</v>
      </c>
      <c r="D78" s="40" t="s">
        <v>156</v>
      </c>
      <c r="E78" s="40" t="s">
        <v>157</v>
      </c>
      <c r="F78" s="46"/>
      <c r="G78" s="42">
        <v>1</v>
      </c>
      <c r="H78" s="43" t="str">
        <f t="shared" si="6"/>
        <v>PLANEJADO</v>
      </c>
    </row>
    <row r="79" spans="1:8" ht="28.5" customHeight="1">
      <c r="A79" s="79"/>
      <c r="B79" s="53" t="s">
        <v>82</v>
      </c>
      <c r="C79" s="54" t="s">
        <v>83</v>
      </c>
      <c r="D79" s="40" t="s">
        <v>158</v>
      </c>
      <c r="E79" s="40" t="s">
        <v>159</v>
      </c>
      <c r="F79" s="46"/>
      <c r="G79" s="42">
        <v>1</v>
      </c>
      <c r="H79" s="43" t="str">
        <f t="shared" si="6"/>
        <v>PLANEJADO</v>
      </c>
    </row>
    <row r="80" spans="1:8" ht="28.5" customHeight="1">
      <c r="A80" s="79"/>
      <c r="B80" s="53" t="s">
        <v>85</v>
      </c>
      <c r="C80" s="55" t="s">
        <v>86</v>
      </c>
      <c r="D80" s="40" t="s">
        <v>160</v>
      </c>
      <c r="E80" s="40" t="s">
        <v>161</v>
      </c>
      <c r="F80" s="46"/>
      <c r="G80" s="42">
        <v>1</v>
      </c>
      <c r="H80" s="43" t="str">
        <f t="shared" si="6"/>
        <v>PLANEJADO</v>
      </c>
    </row>
    <row r="81" spans="1:8" ht="28.5" customHeight="1">
      <c r="A81" s="79"/>
      <c r="B81" s="53" t="s">
        <v>88</v>
      </c>
      <c r="C81" s="39" t="s">
        <v>89</v>
      </c>
      <c r="D81" s="40" t="s">
        <v>162</v>
      </c>
      <c r="E81" s="40" t="s">
        <v>163</v>
      </c>
      <c r="F81" s="46"/>
      <c r="G81" s="42">
        <v>1</v>
      </c>
      <c r="H81" s="43" t="str">
        <f t="shared" si="6"/>
        <v>PLANEJADO</v>
      </c>
    </row>
    <row r="82" spans="1:8" ht="28.5" customHeight="1">
      <c r="A82" s="79"/>
      <c r="B82" s="53" t="s">
        <v>90</v>
      </c>
      <c r="C82" s="55" t="s">
        <v>91</v>
      </c>
      <c r="D82" s="40" t="s">
        <v>164</v>
      </c>
      <c r="E82" s="40" t="s">
        <v>165</v>
      </c>
      <c r="F82" s="46"/>
      <c r="G82" s="42">
        <v>1</v>
      </c>
      <c r="H82" s="43" t="str">
        <f t="shared" si="6"/>
        <v>PLANEJADO</v>
      </c>
    </row>
    <row r="83" spans="1:8" ht="28.5" customHeight="1">
      <c r="A83" s="80"/>
      <c r="B83" s="53" t="s">
        <v>93</v>
      </c>
      <c r="C83" s="55" t="s">
        <v>94</v>
      </c>
      <c r="D83" s="40" t="s">
        <v>174</v>
      </c>
      <c r="E83" s="40" t="s">
        <v>167</v>
      </c>
      <c r="F83" s="46"/>
      <c r="G83" s="42">
        <v>1</v>
      </c>
      <c r="H83" s="43" t="str">
        <f t="shared" si="6"/>
        <v>PLANEJADO</v>
      </c>
    </row>
    <row r="84" spans="1:8">
      <c r="G84" s="56"/>
    </row>
    <row r="85" spans="1:8" ht="32.25" customHeight="1">
      <c r="A85" s="51" t="s">
        <v>126</v>
      </c>
      <c r="B85" s="51" t="s">
        <v>127</v>
      </c>
      <c r="C85" s="51" t="s">
        <v>128</v>
      </c>
      <c r="D85" s="52" t="s">
        <v>129</v>
      </c>
      <c r="E85" s="52" t="s">
        <v>130</v>
      </c>
      <c r="F85" s="51" t="s">
        <v>131</v>
      </c>
      <c r="G85" s="51" t="s">
        <v>132</v>
      </c>
      <c r="H85" s="51" t="s">
        <v>133</v>
      </c>
    </row>
    <row r="86" spans="1:8" ht="24" customHeight="1">
      <c r="A86" s="72" t="s">
        <v>175</v>
      </c>
      <c r="B86" s="53" t="s">
        <v>60</v>
      </c>
      <c r="C86" s="39" t="s">
        <v>63</v>
      </c>
      <c r="D86" s="40" t="s">
        <v>146</v>
      </c>
      <c r="E86" s="40" t="s">
        <v>147</v>
      </c>
      <c r="F86" s="46"/>
      <c r="G86" s="42">
        <v>1</v>
      </c>
      <c r="H86" s="43" t="str">
        <f t="shared" ref="H86:H96" si="7">IF(G86=1,"PLANEJADO",IF(G86=1.5,"DESENVOLVENDO",IF(G86=2,"EM ADOÇÃO",IF(G86=3,"ADOTADO",""))))</f>
        <v>PLANEJADO</v>
      </c>
    </row>
    <row r="87" spans="1:8" ht="24" customHeight="1">
      <c r="A87" s="79"/>
      <c r="B87" s="53" t="s">
        <v>70</v>
      </c>
      <c r="C87" s="54" t="s">
        <v>71</v>
      </c>
      <c r="D87" s="40" t="s">
        <v>148</v>
      </c>
      <c r="E87" s="40" t="s">
        <v>149</v>
      </c>
      <c r="F87" s="46"/>
      <c r="G87" s="42">
        <v>3</v>
      </c>
      <c r="H87" s="43" t="str">
        <f t="shared" si="7"/>
        <v>ADOTADO</v>
      </c>
    </row>
    <row r="88" spans="1:8" ht="24" customHeight="1">
      <c r="A88" s="79"/>
      <c r="B88" s="53" t="s">
        <v>73</v>
      </c>
      <c r="C88" s="54" t="s">
        <v>74</v>
      </c>
      <c r="D88" s="40" t="s">
        <v>150</v>
      </c>
      <c r="E88" s="40" t="s">
        <v>151</v>
      </c>
      <c r="F88" s="46"/>
      <c r="G88" s="42">
        <v>3</v>
      </c>
      <c r="H88" s="43" t="str">
        <f t="shared" si="7"/>
        <v>ADOTADO</v>
      </c>
    </row>
    <row r="89" spans="1:8" ht="24" customHeight="1">
      <c r="A89" s="79"/>
      <c r="B89" s="53" t="s">
        <v>78</v>
      </c>
      <c r="C89" s="54" t="s">
        <v>79</v>
      </c>
      <c r="D89" s="40" t="s">
        <v>152</v>
      </c>
      <c r="E89" s="40" t="s">
        <v>153</v>
      </c>
      <c r="F89" s="46"/>
      <c r="G89" s="42">
        <v>3</v>
      </c>
      <c r="H89" s="43" t="str">
        <f t="shared" si="7"/>
        <v>ADOTADO</v>
      </c>
    </row>
    <row r="90" spans="1:8" ht="24" customHeight="1">
      <c r="A90" s="79"/>
      <c r="B90" s="53" t="s">
        <v>75</v>
      </c>
      <c r="C90" s="39" t="s">
        <v>76</v>
      </c>
      <c r="D90" s="40" t="s">
        <v>154</v>
      </c>
      <c r="E90" s="40" t="s">
        <v>155</v>
      </c>
      <c r="F90" s="46"/>
      <c r="G90" s="42">
        <v>3</v>
      </c>
      <c r="H90" s="43" t="str">
        <f t="shared" si="7"/>
        <v>ADOTADO</v>
      </c>
    </row>
    <row r="91" spans="1:8" ht="24" customHeight="1">
      <c r="A91" s="79"/>
      <c r="B91" s="53" t="s">
        <v>81</v>
      </c>
      <c r="C91" s="54" t="s">
        <v>79</v>
      </c>
      <c r="D91" s="40" t="s">
        <v>156</v>
      </c>
      <c r="E91" s="40" t="s">
        <v>157</v>
      </c>
      <c r="F91" s="46"/>
      <c r="G91" s="42">
        <v>3</v>
      </c>
      <c r="H91" s="43" t="str">
        <f t="shared" si="7"/>
        <v>ADOTADO</v>
      </c>
    </row>
    <row r="92" spans="1:8" ht="24" customHeight="1">
      <c r="A92" s="79"/>
      <c r="B92" s="53" t="s">
        <v>82</v>
      </c>
      <c r="C92" s="54" t="s">
        <v>83</v>
      </c>
      <c r="D92" s="40" t="s">
        <v>158</v>
      </c>
      <c r="E92" s="40" t="s">
        <v>159</v>
      </c>
      <c r="F92" s="46"/>
      <c r="G92" s="42">
        <v>3</v>
      </c>
      <c r="H92" s="43" t="str">
        <f t="shared" si="7"/>
        <v>ADOTADO</v>
      </c>
    </row>
    <row r="93" spans="1:8" ht="24" customHeight="1">
      <c r="A93" s="79"/>
      <c r="B93" s="53" t="s">
        <v>85</v>
      </c>
      <c r="C93" s="55" t="s">
        <v>86</v>
      </c>
      <c r="D93" s="40" t="s">
        <v>160</v>
      </c>
      <c r="E93" s="40" t="s">
        <v>161</v>
      </c>
      <c r="F93" s="46"/>
      <c r="G93" s="42">
        <v>3</v>
      </c>
      <c r="H93" s="43" t="str">
        <f t="shared" si="7"/>
        <v>ADOTADO</v>
      </c>
    </row>
    <row r="94" spans="1:8" ht="24" customHeight="1">
      <c r="A94" s="79"/>
      <c r="B94" s="53" t="s">
        <v>88</v>
      </c>
      <c r="C94" s="39" t="s">
        <v>89</v>
      </c>
      <c r="D94" s="40" t="s">
        <v>162</v>
      </c>
      <c r="E94" s="40" t="s">
        <v>163</v>
      </c>
      <c r="F94" s="46"/>
      <c r="G94" s="42">
        <v>1</v>
      </c>
      <c r="H94" s="43" t="str">
        <f t="shared" si="7"/>
        <v>PLANEJADO</v>
      </c>
    </row>
    <row r="95" spans="1:8" ht="24" customHeight="1">
      <c r="A95" s="79"/>
      <c r="B95" s="53" t="s">
        <v>90</v>
      </c>
      <c r="C95" s="55" t="s">
        <v>91</v>
      </c>
      <c r="D95" s="40" t="s">
        <v>164</v>
      </c>
      <c r="E95" s="40" t="s">
        <v>165</v>
      </c>
      <c r="F95" s="46"/>
      <c r="G95" s="42">
        <v>2</v>
      </c>
      <c r="H95" s="43" t="str">
        <f t="shared" si="7"/>
        <v>EM ADOÇÃO</v>
      </c>
    </row>
    <row r="96" spans="1:8" ht="24" customHeight="1">
      <c r="A96" s="80"/>
      <c r="B96" s="53" t="s">
        <v>93</v>
      </c>
      <c r="C96" s="55" t="s">
        <v>94</v>
      </c>
      <c r="D96" s="40" t="s">
        <v>174</v>
      </c>
      <c r="E96" s="40" t="s">
        <v>167</v>
      </c>
      <c r="F96" s="46"/>
      <c r="G96" s="42">
        <v>1</v>
      </c>
      <c r="H96" s="43" t="str">
        <f t="shared" si="7"/>
        <v>PLANEJADO</v>
      </c>
    </row>
  </sheetData>
  <mergeCells count="10">
    <mergeCell ref="A60:A70"/>
    <mergeCell ref="A73:A83"/>
    <mergeCell ref="A86:A96"/>
    <mergeCell ref="A1:H2"/>
    <mergeCell ref="J1:K2"/>
    <mergeCell ref="A4:A5"/>
    <mergeCell ref="A8:A18"/>
    <mergeCell ref="A21:A31"/>
    <mergeCell ref="A34:A44"/>
    <mergeCell ref="A47:A57"/>
  </mergeCells>
  <hyperlinks>
    <hyperlink ref="F4" r:id="rId1" xr:uid="{00000000-0004-0000-0600-000000000000}"/>
  </hyperlinks>
  <pageMargins left="0" right="0" top="0" bottom="0" header="0" footer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25"/>
  <sheetViews>
    <sheetView showGridLines="0" workbookViewId="0">
      <pane ySplit="1" topLeftCell="A8" activePane="bottomLeft" state="frozen"/>
      <selection pane="bottomLeft" activeCell="E28" sqref="E28"/>
    </sheetView>
  </sheetViews>
  <sheetFormatPr defaultColWidth="12.5703125" defaultRowHeight="15" customHeight="1"/>
  <cols>
    <col min="1" max="1" width="17.7109375" customWidth="1"/>
    <col min="2" max="2" width="17" customWidth="1"/>
    <col min="3" max="3" width="42.42578125" customWidth="1"/>
    <col min="4" max="4" width="47.140625" customWidth="1"/>
    <col min="5" max="5" width="37.85546875" customWidth="1"/>
    <col min="6" max="6" width="55.85546875" customWidth="1"/>
    <col min="7" max="7" width="35.42578125" customWidth="1"/>
    <col min="8" max="8" width="80.42578125" customWidth="1"/>
    <col min="9" max="9" width="19.85546875" customWidth="1"/>
    <col min="10" max="10" width="27.28515625" customWidth="1"/>
  </cols>
  <sheetData>
    <row r="1" spans="1:10" ht="33" customHeight="1">
      <c r="A1" s="50" t="s">
        <v>176</v>
      </c>
      <c r="B1" s="50" t="s">
        <v>47</v>
      </c>
      <c r="C1" s="50" t="s">
        <v>48</v>
      </c>
      <c r="D1" s="50" t="s">
        <v>177</v>
      </c>
      <c r="E1" s="50" t="s">
        <v>178</v>
      </c>
      <c r="F1" s="50" t="s">
        <v>179</v>
      </c>
      <c r="G1" s="50" t="s">
        <v>50</v>
      </c>
      <c r="H1" s="50" t="s">
        <v>180</v>
      </c>
      <c r="I1" s="50" t="s">
        <v>181</v>
      </c>
      <c r="J1" s="50" t="s">
        <v>182</v>
      </c>
    </row>
    <row r="2" spans="1:10" ht="31.5" customHeight="1">
      <c r="A2" s="59" t="s">
        <v>60</v>
      </c>
      <c r="B2" s="59" t="s">
        <v>61</v>
      </c>
      <c r="C2" s="59" t="s">
        <v>183</v>
      </c>
      <c r="D2" s="59" t="s">
        <v>184</v>
      </c>
      <c r="E2" s="60" t="s">
        <v>146</v>
      </c>
      <c r="F2" s="59" t="s">
        <v>185</v>
      </c>
      <c r="G2" s="59" t="s">
        <v>186</v>
      </c>
      <c r="H2" s="60" t="s">
        <v>147</v>
      </c>
      <c r="I2" s="61" t="s">
        <v>187</v>
      </c>
      <c r="J2" s="59" t="s">
        <v>188</v>
      </c>
    </row>
    <row r="3" spans="1:10" ht="22.5" customHeight="1">
      <c r="A3" s="59" t="s">
        <v>65</v>
      </c>
      <c r="B3" s="59" t="s">
        <v>61</v>
      </c>
      <c r="C3" s="59" t="s">
        <v>189</v>
      </c>
      <c r="D3" s="59" t="s">
        <v>184</v>
      </c>
      <c r="E3" s="60" t="s">
        <v>135</v>
      </c>
      <c r="F3" s="59" t="s">
        <v>66</v>
      </c>
      <c r="G3" s="59" t="s">
        <v>67</v>
      </c>
      <c r="H3" s="60" t="s">
        <v>136</v>
      </c>
      <c r="I3" s="59" t="s">
        <v>187</v>
      </c>
      <c r="J3" s="59" t="s">
        <v>190</v>
      </c>
    </row>
    <row r="4" spans="1:10" ht="22.5" customHeight="1">
      <c r="A4" s="59" t="s">
        <v>68</v>
      </c>
      <c r="B4" s="59" t="s">
        <v>61</v>
      </c>
      <c r="C4" s="59" t="s">
        <v>191</v>
      </c>
      <c r="D4" s="59" t="s">
        <v>184</v>
      </c>
      <c r="E4" s="60" t="s">
        <v>140</v>
      </c>
      <c r="F4" s="59" t="s">
        <v>192</v>
      </c>
      <c r="G4" s="59" t="s">
        <v>67</v>
      </c>
      <c r="H4" s="60" t="s">
        <v>141</v>
      </c>
      <c r="I4" s="59" t="s">
        <v>187</v>
      </c>
      <c r="J4" s="59" t="s">
        <v>190</v>
      </c>
    </row>
    <row r="5" spans="1:10" ht="22.5" customHeight="1">
      <c r="A5" s="59" t="s">
        <v>70</v>
      </c>
      <c r="B5" s="59" t="s">
        <v>61</v>
      </c>
      <c r="C5" s="59" t="s">
        <v>62</v>
      </c>
      <c r="D5" s="60" t="s">
        <v>193</v>
      </c>
      <c r="E5" s="60" t="s">
        <v>148</v>
      </c>
      <c r="F5" s="59" t="s">
        <v>194</v>
      </c>
      <c r="G5" s="59" t="s">
        <v>195</v>
      </c>
      <c r="H5" s="60" t="s">
        <v>149</v>
      </c>
      <c r="I5" s="59" t="s">
        <v>187</v>
      </c>
      <c r="J5" s="59" t="s">
        <v>196</v>
      </c>
    </row>
    <row r="6" spans="1:10" ht="22.5" customHeight="1">
      <c r="A6" s="59" t="s">
        <v>73</v>
      </c>
      <c r="B6" s="59" t="s">
        <v>61</v>
      </c>
      <c r="C6" s="59" t="s">
        <v>62</v>
      </c>
      <c r="D6" s="59" t="s">
        <v>197</v>
      </c>
      <c r="E6" s="60" t="s">
        <v>150</v>
      </c>
      <c r="F6" s="59" t="s">
        <v>194</v>
      </c>
      <c r="G6" s="59" t="s">
        <v>195</v>
      </c>
      <c r="H6" s="60" t="s">
        <v>151</v>
      </c>
      <c r="I6" s="59" t="s">
        <v>187</v>
      </c>
      <c r="J6" s="59" t="s">
        <v>198</v>
      </c>
    </row>
    <row r="7" spans="1:10" ht="22.5" customHeight="1">
      <c r="A7" s="59" t="s">
        <v>75</v>
      </c>
      <c r="B7" s="59" t="s">
        <v>61</v>
      </c>
      <c r="C7" s="59" t="s">
        <v>199</v>
      </c>
      <c r="D7" s="59" t="s">
        <v>200</v>
      </c>
      <c r="E7" s="60" t="s">
        <v>154</v>
      </c>
      <c r="F7" s="59" t="s">
        <v>201</v>
      </c>
      <c r="G7" s="59" t="s">
        <v>202</v>
      </c>
      <c r="H7" s="60" t="s">
        <v>155</v>
      </c>
      <c r="I7" s="59" t="s">
        <v>187</v>
      </c>
      <c r="J7" s="59" t="s">
        <v>203</v>
      </c>
    </row>
    <row r="8" spans="1:10" ht="22.5" customHeight="1">
      <c r="A8" s="59" t="s">
        <v>78</v>
      </c>
      <c r="B8" s="59" t="s">
        <v>61</v>
      </c>
      <c r="C8" s="59" t="s">
        <v>62</v>
      </c>
      <c r="D8" s="59" t="s">
        <v>204</v>
      </c>
      <c r="E8" s="60" t="s">
        <v>152</v>
      </c>
      <c r="F8" s="59" t="s">
        <v>79</v>
      </c>
      <c r="G8" s="59" t="s">
        <v>205</v>
      </c>
      <c r="H8" s="60" t="s">
        <v>153</v>
      </c>
      <c r="I8" s="59" t="s">
        <v>187</v>
      </c>
      <c r="J8" s="59" t="s">
        <v>206</v>
      </c>
    </row>
    <row r="9" spans="1:10" ht="22.5" customHeight="1">
      <c r="A9" s="59" t="s">
        <v>81</v>
      </c>
      <c r="B9" s="59" t="s">
        <v>61</v>
      </c>
      <c r="C9" s="59" t="s">
        <v>62</v>
      </c>
      <c r="D9" s="59" t="s">
        <v>207</v>
      </c>
      <c r="E9" s="60" t="s">
        <v>156</v>
      </c>
      <c r="F9" s="59" t="s">
        <v>79</v>
      </c>
      <c r="G9" s="59" t="s">
        <v>205</v>
      </c>
      <c r="H9" s="60" t="s">
        <v>157</v>
      </c>
      <c r="I9" s="59" t="s">
        <v>187</v>
      </c>
      <c r="J9" s="59" t="s">
        <v>208</v>
      </c>
    </row>
    <row r="10" spans="1:10" ht="22.5" customHeight="1">
      <c r="A10" s="59" t="s">
        <v>82</v>
      </c>
      <c r="B10" s="59" t="s">
        <v>61</v>
      </c>
      <c r="C10" s="59" t="s">
        <v>62</v>
      </c>
      <c r="D10" s="59" t="s">
        <v>184</v>
      </c>
      <c r="E10" s="60" t="s">
        <v>158</v>
      </c>
      <c r="F10" s="59" t="s">
        <v>209</v>
      </c>
      <c r="G10" s="59" t="s">
        <v>84</v>
      </c>
      <c r="H10" s="60" t="s">
        <v>159</v>
      </c>
      <c r="I10" s="59" t="s">
        <v>10</v>
      </c>
      <c r="J10" s="59" t="s">
        <v>210</v>
      </c>
    </row>
    <row r="11" spans="1:10" ht="22.5" customHeight="1">
      <c r="A11" s="59" t="s">
        <v>85</v>
      </c>
      <c r="B11" s="59" t="s">
        <v>61</v>
      </c>
      <c r="C11" s="59" t="s">
        <v>62</v>
      </c>
      <c r="D11" s="59" t="s">
        <v>211</v>
      </c>
      <c r="E11" s="60" t="s">
        <v>160</v>
      </c>
      <c r="F11" s="59" t="s">
        <v>212</v>
      </c>
      <c r="G11" s="59" t="s">
        <v>195</v>
      </c>
      <c r="H11" s="60" t="s">
        <v>161</v>
      </c>
      <c r="I11" s="59" t="s">
        <v>187</v>
      </c>
      <c r="J11" s="59" t="s">
        <v>213</v>
      </c>
    </row>
    <row r="12" spans="1:10" ht="22.5" customHeight="1">
      <c r="A12" s="59" t="s">
        <v>88</v>
      </c>
      <c r="B12" s="59" t="s">
        <v>61</v>
      </c>
      <c r="C12" s="59" t="s">
        <v>62</v>
      </c>
      <c r="D12" s="59" t="s">
        <v>211</v>
      </c>
      <c r="E12" s="60" t="s">
        <v>162</v>
      </c>
      <c r="F12" s="59" t="s">
        <v>214</v>
      </c>
      <c r="G12" s="59" t="s">
        <v>205</v>
      </c>
      <c r="H12" s="60" t="s">
        <v>163</v>
      </c>
      <c r="I12" s="59" t="s">
        <v>187</v>
      </c>
      <c r="J12" s="59" t="s">
        <v>213</v>
      </c>
    </row>
    <row r="13" spans="1:10" ht="22.5" customHeight="1">
      <c r="A13" s="59" t="s">
        <v>90</v>
      </c>
      <c r="B13" s="59" t="s">
        <v>61</v>
      </c>
      <c r="C13" s="59" t="s">
        <v>215</v>
      </c>
      <c r="D13" s="59" t="s">
        <v>216</v>
      </c>
      <c r="E13" s="60" t="s">
        <v>164</v>
      </c>
      <c r="F13" s="59" t="s">
        <v>217</v>
      </c>
      <c r="G13" s="59" t="s">
        <v>218</v>
      </c>
      <c r="H13" s="60" t="s">
        <v>165</v>
      </c>
      <c r="I13" s="59" t="s">
        <v>187</v>
      </c>
      <c r="J13" s="59" t="s">
        <v>219</v>
      </c>
    </row>
    <row r="14" spans="1:10" ht="22.5" customHeight="1">
      <c r="A14" s="59" t="s">
        <v>93</v>
      </c>
      <c r="B14" s="59" t="s">
        <v>61</v>
      </c>
      <c r="C14" s="59" t="s">
        <v>220</v>
      </c>
      <c r="D14" s="59" t="s">
        <v>221</v>
      </c>
      <c r="E14" s="60" t="s">
        <v>174</v>
      </c>
      <c r="F14" s="59" t="s">
        <v>222</v>
      </c>
      <c r="G14" s="59" t="s">
        <v>223</v>
      </c>
      <c r="H14" s="60" t="s">
        <v>167</v>
      </c>
      <c r="I14" s="59" t="s">
        <v>187</v>
      </c>
      <c r="J14" s="59" t="s">
        <v>224</v>
      </c>
    </row>
    <row r="15" spans="1:10" ht="22.5" customHeight="1">
      <c r="A15" s="59" t="s">
        <v>225</v>
      </c>
      <c r="B15" s="59" t="s">
        <v>61</v>
      </c>
      <c r="C15" s="59" t="s">
        <v>220</v>
      </c>
      <c r="D15" s="59" t="s">
        <v>226</v>
      </c>
      <c r="E15" s="60" t="s">
        <v>174</v>
      </c>
      <c r="F15" s="59" t="s">
        <v>222</v>
      </c>
      <c r="G15" s="59" t="s">
        <v>223</v>
      </c>
      <c r="H15" s="60" t="s">
        <v>167</v>
      </c>
      <c r="I15" s="59" t="s">
        <v>187</v>
      </c>
      <c r="J15" s="59" t="s">
        <v>224</v>
      </c>
    </row>
    <row r="16" spans="1:10" ht="22.5" customHeight="1">
      <c r="A16" s="59" t="s">
        <v>96</v>
      </c>
      <c r="B16" s="59" t="s">
        <v>97</v>
      </c>
      <c r="C16" s="59" t="s">
        <v>62</v>
      </c>
      <c r="D16" s="59" t="s">
        <v>184</v>
      </c>
      <c r="E16" s="60" t="s">
        <v>227</v>
      </c>
      <c r="F16" s="59" t="s">
        <v>228</v>
      </c>
      <c r="G16" s="59" t="s">
        <v>99</v>
      </c>
      <c r="H16" s="60" t="s">
        <v>229</v>
      </c>
      <c r="I16" s="59" t="s">
        <v>187</v>
      </c>
      <c r="J16" s="59" t="s">
        <v>230</v>
      </c>
    </row>
    <row r="17" spans="1:10" ht="22.5" customHeight="1">
      <c r="A17" s="59" t="s">
        <v>101</v>
      </c>
      <c r="B17" s="59" t="s">
        <v>97</v>
      </c>
      <c r="C17" s="59" t="s">
        <v>199</v>
      </c>
      <c r="D17" s="59" t="s">
        <v>184</v>
      </c>
      <c r="E17" s="60" t="s">
        <v>231</v>
      </c>
      <c r="F17" s="59" t="s">
        <v>232</v>
      </c>
      <c r="G17" s="59" t="s">
        <v>202</v>
      </c>
      <c r="H17" s="60" t="s">
        <v>233</v>
      </c>
      <c r="I17" s="59" t="s">
        <v>187</v>
      </c>
      <c r="J17" s="59" t="s">
        <v>234</v>
      </c>
    </row>
    <row r="18" spans="1:10" ht="22.5" customHeight="1">
      <c r="A18" s="59" t="s">
        <v>103</v>
      </c>
      <c r="B18" s="59" t="s">
        <v>97</v>
      </c>
      <c r="C18" s="59" t="s">
        <v>215</v>
      </c>
      <c r="D18" s="59" t="s">
        <v>216</v>
      </c>
      <c r="E18" s="60" t="s">
        <v>235</v>
      </c>
      <c r="F18" s="59" t="s">
        <v>217</v>
      </c>
      <c r="G18" s="59" t="s">
        <v>236</v>
      </c>
      <c r="H18" s="60" t="s">
        <v>237</v>
      </c>
      <c r="I18" s="59" t="s">
        <v>187</v>
      </c>
      <c r="J18" s="59" t="s">
        <v>238</v>
      </c>
    </row>
    <row r="19" spans="1:10" ht="22.5" customHeight="1">
      <c r="A19" s="59" t="s">
        <v>105</v>
      </c>
      <c r="B19" s="59" t="s">
        <v>97</v>
      </c>
      <c r="C19" s="59" t="s">
        <v>62</v>
      </c>
      <c r="D19" s="59" t="s">
        <v>184</v>
      </c>
      <c r="E19" s="60" t="s">
        <v>239</v>
      </c>
      <c r="F19" s="59" t="s">
        <v>106</v>
      </c>
      <c r="G19" s="59" t="s">
        <v>67</v>
      </c>
      <c r="H19" s="60" t="s">
        <v>240</v>
      </c>
      <c r="I19" s="59" t="s">
        <v>187</v>
      </c>
      <c r="J19" s="59" t="s">
        <v>190</v>
      </c>
    </row>
    <row r="20" spans="1:10" ht="22.5" customHeight="1">
      <c r="A20" s="59" t="s">
        <v>108</v>
      </c>
      <c r="B20" s="59" t="s">
        <v>109</v>
      </c>
      <c r="C20" s="59" t="s">
        <v>62</v>
      </c>
      <c r="D20" s="59" t="s">
        <v>184</v>
      </c>
      <c r="E20" s="60" t="s">
        <v>241</v>
      </c>
      <c r="F20" s="59" t="s">
        <v>242</v>
      </c>
      <c r="G20" s="59" t="s">
        <v>67</v>
      </c>
      <c r="H20" s="60" t="s">
        <v>243</v>
      </c>
      <c r="I20" s="59" t="s">
        <v>187</v>
      </c>
      <c r="J20" s="59" t="s">
        <v>190</v>
      </c>
    </row>
    <row r="21" spans="1:10" ht="22.5" customHeight="1">
      <c r="A21" s="59" t="s">
        <v>111</v>
      </c>
      <c r="B21" s="59" t="s">
        <v>109</v>
      </c>
      <c r="C21" s="59" t="s">
        <v>244</v>
      </c>
      <c r="D21" s="59" t="s">
        <v>184</v>
      </c>
      <c r="E21" s="60" t="s">
        <v>245</v>
      </c>
      <c r="F21" s="59" t="s">
        <v>246</v>
      </c>
      <c r="G21" s="59" t="s">
        <v>99</v>
      </c>
      <c r="H21" s="60" t="s">
        <v>247</v>
      </c>
      <c r="I21" s="59" t="s">
        <v>187</v>
      </c>
      <c r="J21" s="59" t="s">
        <v>244</v>
      </c>
    </row>
    <row r="22" spans="1:10" ht="22.5" customHeight="1">
      <c r="A22" s="59" t="s">
        <v>113</v>
      </c>
      <c r="B22" s="59" t="s">
        <v>109</v>
      </c>
      <c r="C22" s="59" t="s">
        <v>215</v>
      </c>
      <c r="D22" s="59" t="s">
        <v>216</v>
      </c>
      <c r="E22" s="60" t="s">
        <v>248</v>
      </c>
      <c r="F22" s="59" t="s">
        <v>249</v>
      </c>
      <c r="G22" s="59" t="s">
        <v>250</v>
      </c>
      <c r="H22" s="60" t="s">
        <v>251</v>
      </c>
      <c r="I22" s="59" t="s">
        <v>187</v>
      </c>
      <c r="J22" s="59" t="s">
        <v>252</v>
      </c>
    </row>
    <row r="23" spans="1:10" ht="22.5" customHeight="1">
      <c r="A23" s="59" t="s">
        <v>116</v>
      </c>
      <c r="B23" s="59" t="s">
        <v>117</v>
      </c>
      <c r="C23" s="59" t="s">
        <v>183</v>
      </c>
      <c r="D23" s="59" t="s">
        <v>184</v>
      </c>
      <c r="E23" s="60" t="s">
        <v>253</v>
      </c>
      <c r="F23" s="59" t="s">
        <v>254</v>
      </c>
      <c r="G23" s="59" t="s">
        <v>255</v>
      </c>
      <c r="H23" s="60" t="s">
        <v>256</v>
      </c>
      <c r="I23" s="59" t="s">
        <v>187</v>
      </c>
      <c r="J23" s="59" t="s">
        <v>234</v>
      </c>
    </row>
    <row r="24" spans="1:10" ht="22.5" customHeight="1">
      <c r="A24" s="59" t="s">
        <v>120</v>
      </c>
      <c r="B24" s="59" t="s">
        <v>117</v>
      </c>
      <c r="C24" s="59" t="s">
        <v>191</v>
      </c>
      <c r="D24" s="59" t="s">
        <v>184</v>
      </c>
      <c r="E24" s="60" t="s">
        <v>257</v>
      </c>
      <c r="F24" s="59" t="s">
        <v>258</v>
      </c>
      <c r="G24" s="59" t="s">
        <v>259</v>
      </c>
      <c r="H24" s="60" t="s">
        <v>260</v>
      </c>
      <c r="I24" s="59" t="s">
        <v>187</v>
      </c>
      <c r="J24" s="59" t="s">
        <v>190</v>
      </c>
    </row>
    <row r="25" spans="1:10" ht="22.5" customHeight="1">
      <c r="A25" s="59" t="s">
        <v>123</v>
      </c>
      <c r="B25" s="59" t="s">
        <v>117</v>
      </c>
      <c r="C25" s="59" t="s">
        <v>261</v>
      </c>
      <c r="D25" s="59" t="s">
        <v>216</v>
      </c>
      <c r="E25" s="60" t="s">
        <v>262</v>
      </c>
      <c r="F25" s="59" t="s">
        <v>114</v>
      </c>
      <c r="G25" s="59" t="s">
        <v>67</v>
      </c>
      <c r="H25" s="60" t="s">
        <v>263</v>
      </c>
      <c r="I25" s="59" t="s">
        <v>187</v>
      </c>
      <c r="J25" s="59" t="s">
        <v>190</v>
      </c>
    </row>
  </sheetData>
  <customSheetViews>
    <customSheetView guid="{B4FAA844-04BA-4DAF-A04E-CDFCEC544F69}" filter="1" showAutoFilter="1">
      <autoFilter ref="A1:J25" xr:uid="{58F095ED-4204-409A-94CC-552F80DF763B}"/>
      <extLst>
        <ext uri="GoogleSheetsCustomDataVersion1">
          <go:sheetsCustomData xmlns:go="http://customooxmlschemas.google.com/" filterViewId="514924357"/>
        </ext>
      </extLst>
    </customSheetView>
  </customSheetViews>
  <dataValidations count="2">
    <dataValidation type="list" allowBlank="1" sqref="I2:I25" xr:uid="{00000000-0002-0000-0700-000000000000}">
      <formula1>"Planejado,Adotado,Em Adoção,Desenvolvendo,Não Aplicável,Não Iniciado"</formula1>
    </dataValidation>
    <dataValidation type="list" allowBlank="1" showDropDown="1" showErrorMessage="1" sqref="B2:B25" xr:uid="{00000000-0002-0000-0700-000001000000}">
      <formula1>"TRI 1,TRI 2,TRI 3,TRI 4"</formula1>
    </dataValidation>
  </dataValidations>
  <pageMargins left="0" right="0" top="0" bottom="0" header="0" footer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2026-01-28T21:45:29Z</dcterms:created>
  <dcterms:modified xsi:type="dcterms:W3CDTF">2026-01-29T16:56:11Z</dcterms:modified>
  <cp:category/>
  <cp:contentStatus/>
</cp:coreProperties>
</file>